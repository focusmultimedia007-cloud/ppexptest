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484HMTn+2KOFz4MYxxzj/n3yfA+sGvY8o3gqCuOB2cs="/>
    </ext>
  </extLst>
</workbook>
</file>

<file path=xl/sharedStrings.xml><?xml version="1.0" encoding="utf-8"?>
<sst xmlns="http://schemas.openxmlformats.org/spreadsheetml/2006/main" count="122" uniqueCount="103">
  <si>
    <t>VEGETABLES</t>
  </si>
  <si>
    <t>ITEM</t>
  </si>
  <si>
    <t>Rate per KG</t>
  </si>
  <si>
    <t>TOTAL KG</t>
  </si>
  <si>
    <t>TOTAL</t>
  </si>
  <si>
    <t>ONION</t>
  </si>
  <si>
    <t>TOMATO</t>
  </si>
  <si>
    <t>AALO</t>
  </si>
  <si>
    <t>SHIMLA</t>
  </si>
  <si>
    <t>CABBAGE</t>
  </si>
  <si>
    <t xml:space="preserve">BEANS </t>
  </si>
  <si>
    <t>GAJAR</t>
  </si>
  <si>
    <t>GARLIC</t>
  </si>
  <si>
    <t>GINGER</t>
  </si>
  <si>
    <t>DHANIYA</t>
  </si>
  <si>
    <t>HARI MIRCH</t>
  </si>
  <si>
    <t>LEMON</t>
  </si>
  <si>
    <t>PUDINA</t>
  </si>
  <si>
    <t>MUSHROOM</t>
  </si>
  <si>
    <t>KHEERA</t>
  </si>
  <si>
    <t>HARA PYAZ</t>
  </si>
  <si>
    <t>CHICKEN</t>
  </si>
  <si>
    <t>TANDORI</t>
  </si>
  <si>
    <t>THAI</t>
  </si>
  <si>
    <t>TANGRI</t>
  </si>
  <si>
    <t>CHEST</t>
  </si>
  <si>
    <t>PANEER</t>
  </si>
  <si>
    <t>CHAAP</t>
  </si>
  <si>
    <t>DAHI</t>
  </si>
  <si>
    <t>NUTRILITE</t>
  </si>
  <si>
    <t>NOODLES</t>
  </si>
  <si>
    <t>MILK</t>
  </si>
  <si>
    <t>MATAR</t>
  </si>
  <si>
    <t>RASHAN</t>
  </si>
  <si>
    <t>REFINED</t>
  </si>
  <si>
    <t>KAJU</t>
  </si>
  <si>
    <t>MAGAZ</t>
  </si>
  <si>
    <t>AATA</t>
  </si>
  <si>
    <t>MAIDA</t>
  </si>
  <si>
    <t>CREAM</t>
  </si>
  <si>
    <t>DESI GHEE</t>
  </si>
  <si>
    <t>MUSTURD OIL</t>
  </si>
  <si>
    <t>TATA SALT</t>
  </si>
  <si>
    <t>T KETCHUP</t>
  </si>
  <si>
    <t>G C SAUCE</t>
  </si>
  <si>
    <t>SOYA SAUCE</t>
  </si>
  <si>
    <t>VINEGAR</t>
  </si>
  <si>
    <t>AJINOMOTO</t>
  </si>
  <si>
    <t>MYONESE</t>
  </si>
  <si>
    <t>CORN FLOUR</t>
  </si>
  <si>
    <t>BREAD CRUMBS</t>
  </si>
  <si>
    <t>BESAN</t>
  </si>
  <si>
    <t>URAD DAL</t>
  </si>
  <si>
    <t>RAJMA</t>
  </si>
  <si>
    <t>CHANA DAL</t>
  </si>
  <si>
    <t>ARHAR DAL</t>
  </si>
  <si>
    <t>MIX DAL</t>
  </si>
  <si>
    <t>STAFF RICE</t>
  </si>
  <si>
    <t>SELLA RICE</t>
  </si>
  <si>
    <t>BLACK SALT</t>
  </si>
  <si>
    <t>AMCHUR</t>
  </si>
  <si>
    <t>KALI MIRCH</t>
  </si>
  <si>
    <t>JAVITRI</t>
  </si>
  <si>
    <t>BADDI ELACHI</t>
  </si>
  <si>
    <t>LAUNG</t>
  </si>
  <si>
    <t>DAL CHINI</t>
  </si>
  <si>
    <t>JEERA</t>
  </si>
  <si>
    <t>JAIFAL</t>
  </si>
  <si>
    <t>STAR FOOL</t>
  </si>
  <si>
    <t>RED COLOUR</t>
  </si>
  <si>
    <t>AMUL BUTTER</t>
  </si>
  <si>
    <t>LOLLYPOP</t>
  </si>
  <si>
    <t>SURF</t>
  </si>
  <si>
    <t>SUGAR</t>
  </si>
  <si>
    <t>TEA</t>
  </si>
  <si>
    <t xml:space="preserve">KASTURI METHI </t>
  </si>
  <si>
    <t>SAUNF</t>
  </si>
  <si>
    <t xml:space="preserve">EXTRA DAILY </t>
  </si>
  <si>
    <t>DISPOSAL</t>
  </si>
  <si>
    <t>SILVER FOIL</t>
  </si>
  <si>
    <t>CLING WRAPE</t>
  </si>
  <si>
    <t>PAPER PLATE</t>
  </si>
  <si>
    <t xml:space="preserve">DONA </t>
  </si>
  <si>
    <t>FORK</t>
  </si>
  <si>
    <t>SPOON</t>
  </si>
  <si>
    <t>35 ML DIP</t>
  </si>
  <si>
    <t>FRUIT STICK</t>
  </si>
  <si>
    <t>GARBAGE</t>
  </si>
  <si>
    <t>13*16 POLLY</t>
  </si>
  <si>
    <t>BROWN LIFAFA</t>
  </si>
  <si>
    <t>TEA CUP</t>
  </si>
  <si>
    <t>WATER GLASS</t>
  </si>
  <si>
    <t>CHUTNI POLLY</t>
  </si>
  <si>
    <t>ONION POLLY</t>
  </si>
  <si>
    <t>TISSUE</t>
  </si>
  <si>
    <t>S CON SMALL</t>
  </si>
  <si>
    <t>S CON BIG</t>
  </si>
  <si>
    <t xml:space="preserve">750 ML PASTA </t>
  </si>
  <si>
    <t>300 ML CONT</t>
  </si>
  <si>
    <t>500 ML CONT</t>
  </si>
  <si>
    <t>750 ML CONT</t>
  </si>
  <si>
    <t>CARRY BAG</t>
  </si>
  <si>
    <t>500ML PLASTIC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</si>
</sst>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6">
    <font>
      <sz val="11.0"/>
      <color theme="1"/>
      <name val="Calibri"/>
      <scheme val="minor"/>
    </font>
    <font>
      <b/>
      <sz val="14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C2D69B"/>
        <bgColor rgb="FFC2D69B"/>
      </patternFill>
    </fill>
    <fill>
      <patternFill patternType="solid">
        <fgColor rgb="FFE5B8B7"/>
        <bgColor rgb="FFE5B8B7"/>
      </patternFill>
    </fill>
    <fill>
      <patternFill patternType="solid">
        <fgColor rgb="FF92CDDC"/>
        <bgColor rgb="FF92CDDC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0" fillId="0" fontId="3" numFmtId="164" xfId="0" applyFont="1" applyNumberFormat="1"/>
    <xf borderId="4" fillId="3" fontId="4" numFmtId="0" xfId="0" applyBorder="1" applyFill="1" applyFont="1"/>
    <xf borderId="4" fillId="4" fontId="3" numFmtId="0" xfId="0" applyBorder="1" applyFill="1" applyFont="1"/>
    <xf borderId="0" fillId="0" fontId="5" numFmtId="0" xfId="0" applyFont="1"/>
    <xf borderId="4" fillId="4" fontId="4" numFmtId="0" xfId="0" applyBorder="1" applyFont="1"/>
    <xf borderId="0" fillId="0" fontId="5" numFmtId="0" xfId="0" applyAlignment="1" applyFont="1">
      <alignment readingOrder="0"/>
    </xf>
    <xf borderId="0" fillId="0" fontId="4" numFmtId="0" xfId="0" applyFont="1"/>
    <xf borderId="4" fillId="3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86"/>
    <col customWidth="1" min="2" max="2" width="11.29"/>
    <col customWidth="1" min="3" max="4" width="10.43"/>
    <col customWidth="1" min="5" max="5" width="10.29"/>
    <col customWidth="1" min="6" max="6" width="10.57"/>
    <col customWidth="1" min="7" max="7" width="10.86"/>
    <col customWidth="1" min="8" max="8" width="11.57"/>
    <col customWidth="1" min="9" max="11" width="10.57"/>
    <col customWidth="1" min="12" max="12" width="11.0"/>
    <col customWidth="1" min="13" max="13" width="10.86"/>
    <col customWidth="1" min="14" max="16" width="10.43"/>
    <col customWidth="1" min="17" max="17" width="10.14"/>
    <col customWidth="1" min="18" max="19" width="10.43"/>
    <col customWidth="1" min="20" max="20" width="10.14"/>
    <col customWidth="1" min="21" max="21" width="10.86"/>
    <col customWidth="1" min="22" max="22" width="10.43"/>
    <col customWidth="1" min="23" max="23" width="11.29"/>
    <col customWidth="1" min="24" max="24" width="10.43"/>
    <col customWidth="1" min="25" max="25" width="10.57"/>
    <col customWidth="1" min="26" max="26" width="10.86"/>
    <col customWidth="1" min="27" max="27" width="10.14"/>
    <col customWidth="1" min="28" max="28" width="10.86"/>
    <col customWidth="1" min="29" max="30" width="11.0"/>
    <col customWidth="1" min="31" max="31" width="10.29"/>
    <col customWidth="1" min="32" max="33" width="10.57"/>
    <col customWidth="1" min="34" max="35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</row>
    <row r="2">
      <c r="A2" s="4" t="s">
        <v>1</v>
      </c>
      <c r="B2" s="4" t="s">
        <v>2</v>
      </c>
      <c r="C2" s="5">
        <v>46174.0</v>
      </c>
      <c r="D2" s="5">
        <v>46175.0</v>
      </c>
      <c r="E2" s="5">
        <v>46176.0</v>
      </c>
      <c r="F2" s="5">
        <v>46177.0</v>
      </c>
      <c r="G2" s="5">
        <v>46178.0</v>
      </c>
      <c r="H2" s="5">
        <v>46179.0</v>
      </c>
      <c r="I2" s="5">
        <v>46180.0</v>
      </c>
      <c r="J2" s="5">
        <v>46181.0</v>
      </c>
      <c r="K2" s="5">
        <v>46182.0</v>
      </c>
      <c r="L2" s="5">
        <v>46183.0</v>
      </c>
      <c r="M2" s="5">
        <v>46184.0</v>
      </c>
      <c r="N2" s="5">
        <v>46185.0</v>
      </c>
      <c r="O2" s="5">
        <v>46186.0</v>
      </c>
      <c r="P2" s="5">
        <v>46187.0</v>
      </c>
      <c r="Q2" s="5">
        <v>46188.0</v>
      </c>
      <c r="R2" s="5">
        <v>46189.0</v>
      </c>
      <c r="S2" s="5">
        <v>46190.0</v>
      </c>
      <c r="T2" s="5">
        <v>46191.0</v>
      </c>
      <c r="U2" s="5">
        <v>46192.0</v>
      </c>
      <c r="V2" s="5">
        <v>46193.0</v>
      </c>
      <c r="W2" s="5">
        <v>46194.0</v>
      </c>
      <c r="X2" s="5">
        <v>46195.0</v>
      </c>
      <c r="Y2" s="5">
        <v>46196.0</v>
      </c>
      <c r="Z2" s="5">
        <v>46197.0</v>
      </c>
      <c r="AA2" s="5">
        <v>46198.0</v>
      </c>
      <c r="AB2" s="5">
        <v>46199.0</v>
      </c>
      <c r="AC2" s="5">
        <v>46200.0</v>
      </c>
      <c r="AD2" s="5">
        <v>46201.0</v>
      </c>
      <c r="AE2" s="5">
        <v>46202.0</v>
      </c>
      <c r="AF2" s="5">
        <v>46203.0</v>
      </c>
      <c r="AG2" s="5"/>
      <c r="AH2" s="6" t="s">
        <v>3</v>
      </c>
      <c r="AI2" s="7" t="s">
        <v>4</v>
      </c>
    </row>
    <row r="3">
      <c r="A3" s="8" t="s">
        <v>5</v>
      </c>
      <c r="B3" s="8">
        <v>30.0</v>
      </c>
      <c r="C3" s="8">
        <v>50.0</v>
      </c>
      <c r="F3" s="8">
        <v>50.0</v>
      </c>
      <c r="H3" s="8">
        <v>99.0</v>
      </c>
      <c r="AH3" s="6">
        <f t="shared" ref="AH3:AH17" si="1">SUM(C3:AF3)</f>
        <v>199</v>
      </c>
      <c r="AI3" s="9">
        <f t="shared" ref="AI3:AI17" si="2">SUM(C3:AF3)*B3</f>
        <v>5970</v>
      </c>
    </row>
    <row r="4">
      <c r="A4" s="8" t="s">
        <v>6</v>
      </c>
      <c r="B4" s="8">
        <v>20.0</v>
      </c>
      <c r="C4" s="8">
        <v>20.0</v>
      </c>
      <c r="E4" s="8">
        <v>15.0</v>
      </c>
      <c r="F4" s="8">
        <v>15.0</v>
      </c>
      <c r="G4" s="8">
        <v>25.0</v>
      </c>
      <c r="H4" s="8">
        <v>15.0</v>
      </c>
      <c r="I4" s="8">
        <v>20.0</v>
      </c>
      <c r="J4" s="8">
        <v>25.0</v>
      </c>
      <c r="L4" s="10">
        <v>25.0</v>
      </c>
      <c r="AH4" s="6">
        <f t="shared" si="1"/>
        <v>160</v>
      </c>
      <c r="AI4" s="9">
        <f t="shared" si="2"/>
        <v>3200</v>
      </c>
    </row>
    <row r="5">
      <c r="A5" s="8" t="s">
        <v>7</v>
      </c>
      <c r="B5" s="8">
        <v>15.0</v>
      </c>
      <c r="C5" s="8">
        <v>5.0</v>
      </c>
      <c r="E5" s="8">
        <v>5.0</v>
      </c>
      <c r="G5" s="8">
        <v>5.0</v>
      </c>
      <c r="H5" s="8">
        <v>5.0</v>
      </c>
      <c r="L5" s="10">
        <v>5.0</v>
      </c>
      <c r="AH5" s="6">
        <f t="shared" si="1"/>
        <v>25</v>
      </c>
      <c r="AI5" s="9">
        <f t="shared" si="2"/>
        <v>375</v>
      </c>
    </row>
    <row r="6">
      <c r="A6" s="8" t="s">
        <v>8</v>
      </c>
      <c r="B6" s="8">
        <v>49.0</v>
      </c>
      <c r="C6" s="8">
        <v>3.0</v>
      </c>
      <c r="E6" s="8">
        <v>3.0</v>
      </c>
      <c r="F6" s="8">
        <v>3.0</v>
      </c>
      <c r="G6" s="8">
        <v>2.0</v>
      </c>
      <c r="H6" s="8">
        <v>2.5</v>
      </c>
      <c r="I6" s="8">
        <v>7.0</v>
      </c>
      <c r="J6" s="8">
        <v>5.0</v>
      </c>
      <c r="L6" s="10">
        <v>2.0</v>
      </c>
      <c r="AH6" s="6">
        <f t="shared" si="1"/>
        <v>27.5</v>
      </c>
      <c r="AI6" s="9">
        <f t="shared" si="2"/>
        <v>1347.5</v>
      </c>
    </row>
    <row r="7">
      <c r="A7" s="8" t="s">
        <v>9</v>
      </c>
      <c r="B7" s="8">
        <v>20.0</v>
      </c>
      <c r="C7" s="8">
        <v>2.0</v>
      </c>
      <c r="G7" s="8">
        <v>5.0</v>
      </c>
      <c r="H7" s="8">
        <v>1.0</v>
      </c>
      <c r="I7" s="8">
        <v>1.0</v>
      </c>
      <c r="J7" s="8">
        <v>2.0</v>
      </c>
      <c r="AH7" s="6">
        <f t="shared" si="1"/>
        <v>11</v>
      </c>
      <c r="AI7" s="9">
        <f t="shared" si="2"/>
        <v>220</v>
      </c>
    </row>
    <row r="8">
      <c r="A8" s="8" t="s">
        <v>10</v>
      </c>
      <c r="B8" s="8">
        <v>120.0</v>
      </c>
      <c r="F8" s="8">
        <v>1.0</v>
      </c>
      <c r="J8" s="8">
        <v>0.5</v>
      </c>
      <c r="AH8" s="6">
        <f t="shared" si="1"/>
        <v>1.5</v>
      </c>
      <c r="AI8" s="9">
        <f t="shared" si="2"/>
        <v>180</v>
      </c>
    </row>
    <row r="9">
      <c r="A9" s="8" t="s">
        <v>11</v>
      </c>
      <c r="B9" s="8">
        <v>40.0</v>
      </c>
      <c r="C9" s="8">
        <v>0.5</v>
      </c>
      <c r="E9" s="8">
        <v>0.5</v>
      </c>
      <c r="F9" s="8">
        <v>0.5</v>
      </c>
      <c r="G9" s="8">
        <v>0.5</v>
      </c>
      <c r="H9" s="8">
        <v>0.5</v>
      </c>
      <c r="J9" s="8">
        <v>0.5</v>
      </c>
      <c r="L9" s="10">
        <v>0.5</v>
      </c>
      <c r="AH9" s="6">
        <f t="shared" si="1"/>
        <v>3.5</v>
      </c>
      <c r="AI9" s="9">
        <f t="shared" si="2"/>
        <v>140</v>
      </c>
    </row>
    <row r="10">
      <c r="A10" s="8" t="s">
        <v>12</v>
      </c>
      <c r="B10" s="8">
        <v>120.0</v>
      </c>
      <c r="C10" s="8">
        <v>2.0</v>
      </c>
      <c r="E10" s="8">
        <v>2.0</v>
      </c>
      <c r="F10" s="8">
        <v>1.0</v>
      </c>
      <c r="G10" s="8">
        <v>2.5</v>
      </c>
      <c r="H10" s="8">
        <v>2.0</v>
      </c>
      <c r="I10" s="8">
        <v>2.5</v>
      </c>
      <c r="J10" s="8">
        <v>4.0</v>
      </c>
      <c r="L10" s="10">
        <v>2.0</v>
      </c>
      <c r="AH10" s="6">
        <f t="shared" si="1"/>
        <v>18</v>
      </c>
      <c r="AI10" s="9">
        <f t="shared" si="2"/>
        <v>2160</v>
      </c>
    </row>
    <row r="11">
      <c r="A11" s="8" t="s">
        <v>13</v>
      </c>
      <c r="B11" s="8">
        <v>50.0</v>
      </c>
      <c r="C11" s="8">
        <v>1.0</v>
      </c>
      <c r="E11" s="8">
        <v>1.0</v>
      </c>
      <c r="F11" s="8">
        <v>1.0</v>
      </c>
      <c r="G11" s="8">
        <v>1.0</v>
      </c>
      <c r="H11" s="8">
        <v>1.0</v>
      </c>
      <c r="I11" s="8">
        <v>1.0</v>
      </c>
      <c r="J11" s="8">
        <v>1.0</v>
      </c>
      <c r="L11" s="10">
        <v>1.0</v>
      </c>
      <c r="AH11" s="6">
        <f t="shared" si="1"/>
        <v>8</v>
      </c>
      <c r="AI11" s="9">
        <f t="shared" si="2"/>
        <v>400</v>
      </c>
    </row>
    <row r="12">
      <c r="A12" s="8" t="s">
        <v>14</v>
      </c>
      <c r="B12" s="8">
        <v>50.0</v>
      </c>
      <c r="C12" s="8">
        <v>1.5</v>
      </c>
      <c r="E12" s="8">
        <v>2.0</v>
      </c>
      <c r="F12" s="8">
        <v>0.5</v>
      </c>
      <c r="G12" s="8">
        <v>0.5</v>
      </c>
      <c r="I12" s="8">
        <v>0.5</v>
      </c>
      <c r="J12" s="8">
        <v>1.0</v>
      </c>
      <c r="L12" s="10">
        <v>0.5</v>
      </c>
      <c r="AH12" s="6">
        <f t="shared" si="1"/>
        <v>6.5</v>
      </c>
      <c r="AI12" s="9">
        <f t="shared" si="2"/>
        <v>325</v>
      </c>
    </row>
    <row r="13">
      <c r="A13" s="8" t="s">
        <v>15</v>
      </c>
      <c r="B13" s="8">
        <v>40.0</v>
      </c>
      <c r="C13" s="8">
        <v>1.0</v>
      </c>
      <c r="E13" s="8">
        <v>1.0</v>
      </c>
      <c r="F13" s="8">
        <v>1.5</v>
      </c>
      <c r="G13" s="8">
        <v>1.5</v>
      </c>
      <c r="H13" s="8">
        <v>1.0</v>
      </c>
      <c r="I13" s="8">
        <v>1.0</v>
      </c>
      <c r="J13" s="8">
        <v>3.0</v>
      </c>
      <c r="AH13" s="6">
        <f t="shared" si="1"/>
        <v>10</v>
      </c>
      <c r="AI13" s="9">
        <f t="shared" si="2"/>
        <v>400</v>
      </c>
    </row>
    <row r="14">
      <c r="A14" s="8" t="s">
        <v>16</v>
      </c>
      <c r="B14" s="8">
        <v>90.0</v>
      </c>
      <c r="C14" s="8">
        <v>0.5</v>
      </c>
      <c r="E14" s="8">
        <v>0.5</v>
      </c>
      <c r="F14" s="8">
        <v>0.5</v>
      </c>
      <c r="H14" s="8">
        <v>0.5</v>
      </c>
      <c r="I14" s="8">
        <v>1.0</v>
      </c>
      <c r="J14" s="8">
        <v>0.5</v>
      </c>
      <c r="AH14" s="6">
        <f t="shared" si="1"/>
        <v>3.5</v>
      </c>
      <c r="AI14" s="9">
        <f t="shared" si="2"/>
        <v>315</v>
      </c>
    </row>
    <row r="15">
      <c r="A15" s="8" t="s">
        <v>17</v>
      </c>
      <c r="B15" s="8">
        <v>80.0</v>
      </c>
      <c r="C15" s="8">
        <v>0.5</v>
      </c>
      <c r="F15" s="8">
        <v>0.25</v>
      </c>
      <c r="AH15" s="6">
        <f t="shared" si="1"/>
        <v>0.75</v>
      </c>
      <c r="AI15" s="9">
        <f t="shared" si="2"/>
        <v>60</v>
      </c>
    </row>
    <row r="16">
      <c r="A16" s="8" t="s">
        <v>18</v>
      </c>
      <c r="B16" s="8">
        <v>80.0</v>
      </c>
      <c r="C16" s="8">
        <v>2.0</v>
      </c>
      <c r="E16" s="8">
        <v>2.0</v>
      </c>
      <c r="F16" s="8">
        <v>2.0</v>
      </c>
      <c r="H16" s="8">
        <v>2.0</v>
      </c>
      <c r="I16" s="8">
        <v>2.0</v>
      </c>
      <c r="J16" s="8">
        <v>2.0</v>
      </c>
      <c r="AH16" s="6">
        <f t="shared" si="1"/>
        <v>12</v>
      </c>
      <c r="AI16" s="9">
        <f t="shared" si="2"/>
        <v>960</v>
      </c>
    </row>
    <row r="17">
      <c r="A17" s="8" t="s">
        <v>19</v>
      </c>
      <c r="B17" s="8">
        <v>30.0</v>
      </c>
      <c r="I17" s="8">
        <v>1.0</v>
      </c>
      <c r="AH17" s="6">
        <f t="shared" si="1"/>
        <v>1</v>
      </c>
      <c r="AI17" s="9">
        <f t="shared" si="2"/>
        <v>30</v>
      </c>
    </row>
    <row r="18">
      <c r="A18" s="10" t="s">
        <v>20</v>
      </c>
      <c r="L18" s="10">
        <v>0.5</v>
      </c>
      <c r="AI18" s="9"/>
    </row>
    <row r="19">
      <c r="AI19" s="9"/>
    </row>
    <row r="20">
      <c r="A20" s="4" t="s">
        <v>4</v>
      </c>
      <c r="AI20" s="9">
        <f>SUM(AI3:AI18)</f>
        <v>16082.5</v>
      </c>
    </row>
    <row r="21" ht="15.75" customHeight="1"/>
    <row r="22" ht="15.75" customHeight="1"/>
    <row r="23" ht="15.75" customHeight="1"/>
    <row r="24" ht="15.75" customHeight="1"/>
    <row r="25" ht="15.75" customHeight="1">
      <c r="A25" s="1" t="s">
        <v>21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3"/>
    </row>
    <row r="26" ht="15.75" customHeight="1">
      <c r="A26" s="4" t="s">
        <v>1</v>
      </c>
      <c r="B26" s="4" t="s">
        <v>2</v>
      </c>
      <c r="C26" s="5">
        <v>46174.0</v>
      </c>
      <c r="D26" s="5">
        <v>46175.0</v>
      </c>
      <c r="E26" s="5">
        <v>46176.0</v>
      </c>
      <c r="F26" s="5">
        <v>46177.0</v>
      </c>
      <c r="G26" s="5">
        <v>46178.0</v>
      </c>
      <c r="H26" s="5">
        <v>46179.0</v>
      </c>
      <c r="I26" s="5">
        <v>46180.0</v>
      </c>
      <c r="J26" s="5">
        <v>46181.0</v>
      </c>
      <c r="K26" s="5">
        <v>46182.0</v>
      </c>
      <c r="L26" s="5">
        <v>46183.0</v>
      </c>
      <c r="M26" s="5">
        <v>46184.0</v>
      </c>
      <c r="N26" s="5">
        <v>46185.0</v>
      </c>
      <c r="O26" s="5">
        <v>46186.0</v>
      </c>
      <c r="P26" s="5">
        <v>46187.0</v>
      </c>
      <c r="Q26" s="5">
        <v>46188.0</v>
      </c>
      <c r="R26" s="5">
        <v>46189.0</v>
      </c>
      <c r="S26" s="5">
        <v>46190.0</v>
      </c>
      <c r="T26" s="5">
        <v>46191.0</v>
      </c>
      <c r="U26" s="5">
        <v>46192.0</v>
      </c>
      <c r="V26" s="5">
        <v>46193.0</v>
      </c>
      <c r="W26" s="5">
        <v>46194.0</v>
      </c>
      <c r="X26" s="5">
        <v>46195.0</v>
      </c>
      <c r="Y26" s="5">
        <v>46196.0</v>
      </c>
      <c r="Z26" s="5">
        <v>46197.0</v>
      </c>
      <c r="AA26" s="5">
        <v>46198.0</v>
      </c>
      <c r="AB26" s="5">
        <v>46199.0</v>
      </c>
      <c r="AC26" s="5">
        <v>46200.0</v>
      </c>
      <c r="AD26" s="5">
        <v>46201.0</v>
      </c>
      <c r="AE26" s="5">
        <v>46202.0</v>
      </c>
      <c r="AF26" s="5">
        <v>46203.0</v>
      </c>
      <c r="AG26" s="5"/>
      <c r="AI26" s="4" t="s">
        <v>4</v>
      </c>
    </row>
    <row r="27" ht="15.75" customHeight="1"/>
    <row r="28" ht="15.75" customHeight="1">
      <c r="A28" s="8" t="s">
        <v>22</v>
      </c>
      <c r="B28" s="8">
        <v>160.0</v>
      </c>
      <c r="C28" s="8">
        <v>10.0</v>
      </c>
      <c r="E28" s="8">
        <v>10.0</v>
      </c>
      <c r="F28" s="8">
        <v>10.0</v>
      </c>
      <c r="G28" s="8">
        <v>10.0</v>
      </c>
      <c r="H28" s="8">
        <v>15.0</v>
      </c>
      <c r="I28" s="8">
        <v>10.0</v>
      </c>
      <c r="J28" s="8">
        <v>10.0</v>
      </c>
      <c r="L28" s="10">
        <v>10.0</v>
      </c>
      <c r="AH28" s="6">
        <f t="shared" ref="AH28:AH32" si="3">SUM(C28:AF28)</f>
        <v>85</v>
      </c>
      <c r="AI28" s="8">
        <f t="shared" ref="AI28:AI32" si="4">SUM(C28:AF28)*B28</f>
        <v>13600</v>
      </c>
    </row>
    <row r="29" ht="15.75" customHeight="1">
      <c r="A29" s="8" t="s">
        <v>23</v>
      </c>
      <c r="B29" s="8">
        <v>260.0</v>
      </c>
      <c r="C29" s="8">
        <v>5.0</v>
      </c>
      <c r="E29" s="8">
        <v>3.0</v>
      </c>
      <c r="F29" s="8">
        <v>5.0</v>
      </c>
      <c r="G29" s="8">
        <v>2.0</v>
      </c>
      <c r="H29" s="8">
        <v>7.0</v>
      </c>
      <c r="I29" s="8">
        <v>2.0</v>
      </c>
      <c r="J29" s="8">
        <v>5.0</v>
      </c>
      <c r="L29" s="10">
        <v>5.0</v>
      </c>
      <c r="AH29" s="6">
        <f t="shared" si="3"/>
        <v>34</v>
      </c>
      <c r="AI29" s="8">
        <f t="shared" si="4"/>
        <v>8840</v>
      </c>
    </row>
    <row r="30" ht="15.75" customHeight="1">
      <c r="A30" s="8" t="s">
        <v>24</v>
      </c>
      <c r="B30" s="8">
        <v>220.0</v>
      </c>
      <c r="C30" s="8">
        <v>1.0</v>
      </c>
      <c r="F30" s="8">
        <v>1.0</v>
      </c>
      <c r="H30" s="8">
        <v>1.0</v>
      </c>
      <c r="J30" s="8">
        <v>1.0</v>
      </c>
      <c r="AH30" s="6">
        <f t="shared" si="3"/>
        <v>4</v>
      </c>
      <c r="AI30" s="8">
        <f t="shared" si="4"/>
        <v>880</v>
      </c>
    </row>
    <row r="31" ht="15.75" customHeight="1">
      <c r="A31" s="8" t="s">
        <v>25</v>
      </c>
      <c r="B31" s="8">
        <v>220.0</v>
      </c>
      <c r="AH31" s="6">
        <f t="shared" si="3"/>
        <v>0</v>
      </c>
      <c r="AI31" s="8">
        <f t="shared" si="4"/>
        <v>0</v>
      </c>
    </row>
    <row r="32" ht="15.75" customHeight="1">
      <c r="AH32" s="6">
        <f t="shared" si="3"/>
        <v>0</v>
      </c>
      <c r="AI32" s="8">
        <f t="shared" si="4"/>
        <v>0</v>
      </c>
    </row>
    <row r="33" ht="15.75" customHeight="1"/>
    <row r="34" ht="15.75" customHeight="1">
      <c r="A34" s="4" t="s">
        <v>4</v>
      </c>
      <c r="AI34" s="8">
        <f>SUM(AI28:AI32)</f>
        <v>23320</v>
      </c>
    </row>
    <row r="35" ht="15.75" customHeight="1"/>
    <row r="36" ht="15.75" customHeight="1"/>
    <row r="37" ht="15.75" customHeight="1"/>
    <row r="38" ht="15.75" customHeight="1"/>
    <row r="39" ht="15.75" customHeight="1">
      <c r="A39" s="1" t="s">
        <v>21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3"/>
    </row>
    <row r="40" ht="15.75" customHeight="1">
      <c r="A40" s="4" t="s">
        <v>1</v>
      </c>
      <c r="B40" s="4" t="s">
        <v>2</v>
      </c>
      <c r="C40" s="5">
        <v>46174.0</v>
      </c>
      <c r="D40" s="5">
        <v>46175.0</v>
      </c>
      <c r="E40" s="5">
        <v>46176.0</v>
      </c>
      <c r="F40" s="5">
        <v>46177.0</v>
      </c>
      <c r="G40" s="5">
        <v>46178.0</v>
      </c>
      <c r="H40" s="5">
        <v>46179.0</v>
      </c>
      <c r="I40" s="5">
        <v>46180.0</v>
      </c>
      <c r="J40" s="5">
        <v>46181.0</v>
      </c>
      <c r="K40" s="5">
        <v>46182.0</v>
      </c>
      <c r="L40" s="5">
        <v>46183.0</v>
      </c>
      <c r="M40" s="5">
        <v>46184.0</v>
      </c>
      <c r="N40" s="5">
        <v>46185.0</v>
      </c>
      <c r="O40" s="5">
        <v>46186.0</v>
      </c>
      <c r="P40" s="5">
        <v>46187.0</v>
      </c>
      <c r="Q40" s="5">
        <v>46188.0</v>
      </c>
      <c r="R40" s="5">
        <v>46189.0</v>
      </c>
      <c r="S40" s="5">
        <v>46190.0</v>
      </c>
      <c r="T40" s="5">
        <v>46191.0</v>
      </c>
      <c r="U40" s="5">
        <v>46192.0</v>
      </c>
      <c r="V40" s="5">
        <v>46193.0</v>
      </c>
      <c r="W40" s="5">
        <v>46194.0</v>
      </c>
      <c r="X40" s="5">
        <v>46195.0</v>
      </c>
      <c r="Y40" s="5">
        <v>46196.0</v>
      </c>
      <c r="Z40" s="5">
        <v>46197.0</v>
      </c>
      <c r="AA40" s="5">
        <v>46198.0</v>
      </c>
      <c r="AB40" s="5">
        <v>46199.0</v>
      </c>
      <c r="AC40" s="5">
        <v>46200.0</v>
      </c>
      <c r="AD40" s="5">
        <v>46201.0</v>
      </c>
      <c r="AE40" s="5">
        <v>46202.0</v>
      </c>
      <c r="AF40" s="5">
        <v>46203.0</v>
      </c>
      <c r="AG40" s="5"/>
      <c r="AI40" s="4" t="s">
        <v>4</v>
      </c>
    </row>
    <row r="41" ht="15.75" customHeight="1"/>
    <row r="42" ht="15.75" customHeight="1">
      <c r="A42" s="8" t="s">
        <v>26</v>
      </c>
      <c r="B42" s="8">
        <v>220.0</v>
      </c>
      <c r="C42" s="8">
        <v>3.0</v>
      </c>
      <c r="E42" s="8">
        <v>5.0</v>
      </c>
      <c r="F42" s="8">
        <v>5.0</v>
      </c>
      <c r="H42" s="8">
        <v>5.0</v>
      </c>
      <c r="I42" s="8">
        <v>2.0</v>
      </c>
      <c r="J42" s="8">
        <v>5.0</v>
      </c>
      <c r="L42" s="10">
        <v>5.0</v>
      </c>
      <c r="AH42" s="6">
        <f t="shared" ref="AH42:AH48" si="5">SUM(C42:AF42)</f>
        <v>30</v>
      </c>
      <c r="AI42" s="8">
        <f t="shared" ref="AI42:AI48" si="6">SUM(C42:AF42)*B42</f>
        <v>6600</v>
      </c>
    </row>
    <row r="43" ht="15.75" customHeight="1">
      <c r="A43" s="8" t="s">
        <v>27</v>
      </c>
      <c r="B43" s="8">
        <v>60.0</v>
      </c>
      <c r="C43" s="8">
        <v>15.0</v>
      </c>
      <c r="E43" s="8">
        <v>15.0</v>
      </c>
      <c r="F43" s="8">
        <v>10.0</v>
      </c>
      <c r="G43" s="8">
        <v>10.0</v>
      </c>
      <c r="H43" s="8">
        <v>10.0</v>
      </c>
      <c r="I43" s="8">
        <v>10.0</v>
      </c>
      <c r="J43" s="8">
        <v>15.0</v>
      </c>
      <c r="K43" s="8">
        <v>10.0</v>
      </c>
      <c r="L43" s="10">
        <v>10.0</v>
      </c>
      <c r="AH43" s="6">
        <f t="shared" si="5"/>
        <v>105</v>
      </c>
      <c r="AI43" s="8">
        <f t="shared" si="6"/>
        <v>6300</v>
      </c>
    </row>
    <row r="44" ht="15.75" customHeight="1">
      <c r="A44" s="8" t="s">
        <v>28</v>
      </c>
      <c r="B44" s="8">
        <v>60.0</v>
      </c>
      <c r="C44" s="8">
        <v>10.0</v>
      </c>
      <c r="E44" s="8">
        <v>10.0</v>
      </c>
      <c r="F44" s="8">
        <v>5.0</v>
      </c>
      <c r="G44" s="8">
        <v>10.0</v>
      </c>
      <c r="H44" s="8">
        <v>5.0</v>
      </c>
      <c r="I44" s="8">
        <v>10.0</v>
      </c>
      <c r="J44" s="8">
        <v>5.0</v>
      </c>
      <c r="AH44" s="6">
        <f t="shared" si="5"/>
        <v>55</v>
      </c>
      <c r="AI44" s="8">
        <f t="shared" si="6"/>
        <v>3300</v>
      </c>
    </row>
    <row r="45" ht="15.75" customHeight="1">
      <c r="A45" s="8" t="s">
        <v>29</v>
      </c>
      <c r="B45" s="8">
        <v>180.0</v>
      </c>
      <c r="C45" s="8">
        <v>2.0</v>
      </c>
      <c r="E45" s="8">
        <v>2.0</v>
      </c>
      <c r="F45" s="8">
        <v>1.0</v>
      </c>
      <c r="G45" s="8">
        <v>2.0</v>
      </c>
      <c r="I45" s="8">
        <v>2.0</v>
      </c>
      <c r="J45" s="8">
        <v>2.0</v>
      </c>
      <c r="AH45" s="6">
        <f t="shared" si="5"/>
        <v>11</v>
      </c>
      <c r="AI45" s="8">
        <f t="shared" si="6"/>
        <v>1980</v>
      </c>
    </row>
    <row r="46" ht="15.75" customHeight="1">
      <c r="A46" s="8" t="s">
        <v>30</v>
      </c>
      <c r="B46" s="8">
        <v>45.0</v>
      </c>
      <c r="C46" s="8">
        <v>2.0</v>
      </c>
      <c r="G46" s="8">
        <v>2.0</v>
      </c>
      <c r="AH46" s="6">
        <f t="shared" si="5"/>
        <v>4</v>
      </c>
      <c r="AI46" s="8">
        <f t="shared" si="6"/>
        <v>180</v>
      </c>
    </row>
    <row r="47" ht="15.75" customHeight="1">
      <c r="A47" s="8" t="s">
        <v>31</v>
      </c>
      <c r="B47" s="8">
        <v>60.0</v>
      </c>
      <c r="C47" s="8">
        <v>2.0</v>
      </c>
      <c r="E47" s="8">
        <v>2.0</v>
      </c>
      <c r="F47" s="8">
        <v>2.0</v>
      </c>
      <c r="G47" s="8">
        <v>2.0</v>
      </c>
      <c r="H47" s="8">
        <v>2.0</v>
      </c>
      <c r="I47" s="8">
        <v>2.0</v>
      </c>
      <c r="J47" s="8">
        <v>2.0</v>
      </c>
      <c r="L47" s="10">
        <v>2.0</v>
      </c>
      <c r="AH47" s="6">
        <f t="shared" si="5"/>
        <v>16</v>
      </c>
      <c r="AI47" s="8">
        <f t="shared" si="6"/>
        <v>960</v>
      </c>
    </row>
    <row r="48" ht="15.75" customHeight="1">
      <c r="A48" s="11" t="s">
        <v>32</v>
      </c>
      <c r="AH48" s="6">
        <f t="shared" si="5"/>
        <v>0</v>
      </c>
      <c r="AI48" s="8">
        <f t="shared" si="6"/>
        <v>0</v>
      </c>
    </row>
    <row r="49" ht="15.75" customHeight="1"/>
    <row r="50" ht="15.75" customHeight="1">
      <c r="A50" s="4" t="s">
        <v>4</v>
      </c>
      <c r="AI50" s="8">
        <f>SUM(AI42:AI48)</f>
        <v>19320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>
      <c r="A56" s="1" t="s">
        <v>33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3"/>
    </row>
    <row r="57" ht="15.75" customHeight="1">
      <c r="A57" s="4" t="s">
        <v>1</v>
      </c>
      <c r="B57" s="4" t="s">
        <v>2</v>
      </c>
      <c r="C57" s="5">
        <v>46174.0</v>
      </c>
      <c r="D57" s="5">
        <v>46175.0</v>
      </c>
      <c r="E57" s="5">
        <v>46176.0</v>
      </c>
      <c r="F57" s="5">
        <v>46177.0</v>
      </c>
      <c r="G57" s="5">
        <v>46178.0</v>
      </c>
      <c r="H57" s="5">
        <v>46179.0</v>
      </c>
      <c r="I57" s="5">
        <v>46180.0</v>
      </c>
      <c r="J57" s="5">
        <v>46181.0</v>
      </c>
      <c r="K57" s="5">
        <v>46182.0</v>
      </c>
      <c r="L57" s="5">
        <v>46183.0</v>
      </c>
      <c r="M57" s="5">
        <v>46184.0</v>
      </c>
      <c r="N57" s="5">
        <v>46185.0</v>
      </c>
      <c r="O57" s="5">
        <v>46186.0</v>
      </c>
      <c r="P57" s="5">
        <v>46187.0</v>
      </c>
      <c r="Q57" s="5">
        <v>46188.0</v>
      </c>
      <c r="R57" s="5">
        <v>46189.0</v>
      </c>
      <c r="S57" s="5">
        <v>46190.0</v>
      </c>
      <c r="T57" s="5">
        <v>46191.0</v>
      </c>
      <c r="U57" s="5">
        <v>46192.0</v>
      </c>
      <c r="V57" s="5">
        <v>46193.0</v>
      </c>
      <c r="W57" s="5">
        <v>46194.0</v>
      </c>
      <c r="X57" s="5">
        <v>46195.0</v>
      </c>
      <c r="Y57" s="5">
        <v>46196.0</v>
      </c>
      <c r="Z57" s="5">
        <v>46197.0</v>
      </c>
      <c r="AA57" s="5">
        <v>46198.0</v>
      </c>
      <c r="AB57" s="5">
        <v>46199.0</v>
      </c>
      <c r="AC57" s="5">
        <v>46200.0</v>
      </c>
      <c r="AD57" s="5">
        <v>46201.0</v>
      </c>
      <c r="AE57" s="5">
        <v>46202.0</v>
      </c>
      <c r="AF57" s="5">
        <v>46203.0</v>
      </c>
      <c r="AG57" s="5"/>
      <c r="AH57" s="12" t="s">
        <v>3</v>
      </c>
      <c r="AI57" s="7" t="s">
        <v>4</v>
      </c>
    </row>
    <row r="58" ht="15.75" customHeight="1">
      <c r="A58" s="8" t="s">
        <v>34</v>
      </c>
      <c r="B58" s="8">
        <v>1610.0</v>
      </c>
      <c r="C58" s="8">
        <v>1.0</v>
      </c>
      <c r="E58" s="8">
        <v>1.0</v>
      </c>
      <c r="G58" s="8">
        <v>1.0</v>
      </c>
      <c r="H58" s="8">
        <v>1.0</v>
      </c>
      <c r="I58" s="8">
        <v>1.0</v>
      </c>
      <c r="AH58" s="6">
        <f t="shared" ref="AH58:AH98" si="7">SUM(C58:AF58)</f>
        <v>5</v>
      </c>
      <c r="AI58" s="9">
        <f t="shared" ref="AI58:AI98" si="8">SUM(C58:AF58)*B58</f>
        <v>8050</v>
      </c>
    </row>
    <row r="59" ht="15.75" customHeight="1">
      <c r="A59" s="8" t="s">
        <v>35</v>
      </c>
      <c r="B59" s="8">
        <v>662.0</v>
      </c>
      <c r="E59" s="8">
        <v>1.0</v>
      </c>
      <c r="F59" s="8">
        <v>1.0</v>
      </c>
      <c r="H59" s="8">
        <v>2.0</v>
      </c>
      <c r="I59" s="8">
        <v>1.0</v>
      </c>
      <c r="AH59" s="6">
        <f t="shared" si="7"/>
        <v>5</v>
      </c>
      <c r="AI59" s="9">
        <f t="shared" si="8"/>
        <v>3310</v>
      </c>
    </row>
    <row r="60" ht="15.75" customHeight="1">
      <c r="A60" s="8" t="s">
        <v>36</v>
      </c>
      <c r="B60" s="8">
        <v>615.0</v>
      </c>
      <c r="F60" s="8">
        <v>1.0</v>
      </c>
      <c r="L60" s="8">
        <v>1.0</v>
      </c>
      <c r="AH60" s="6">
        <f t="shared" si="7"/>
        <v>2</v>
      </c>
      <c r="AI60" s="9">
        <f t="shared" si="8"/>
        <v>1230</v>
      </c>
    </row>
    <row r="61" ht="15.75" customHeight="1">
      <c r="A61" s="8" t="s">
        <v>37</v>
      </c>
      <c r="B61" s="8">
        <v>1086.0</v>
      </c>
      <c r="C61" s="8">
        <v>1.0</v>
      </c>
      <c r="I61" s="8">
        <v>1.0</v>
      </c>
      <c r="AH61" s="6">
        <f t="shared" si="7"/>
        <v>2</v>
      </c>
      <c r="AI61" s="9">
        <f t="shared" si="8"/>
        <v>2172</v>
      </c>
    </row>
    <row r="62" ht="15.75" customHeight="1">
      <c r="A62" s="8" t="s">
        <v>38</v>
      </c>
      <c r="B62" s="8">
        <v>1100.0</v>
      </c>
      <c r="E62" s="8">
        <v>1.0</v>
      </c>
      <c r="I62" s="8">
        <v>1.0</v>
      </c>
      <c r="AH62" s="6">
        <f t="shared" si="7"/>
        <v>2</v>
      </c>
      <c r="AI62" s="9">
        <f t="shared" si="8"/>
        <v>2200</v>
      </c>
    </row>
    <row r="63" ht="15.75" customHeight="1">
      <c r="A63" s="8" t="s">
        <v>39</v>
      </c>
      <c r="B63" s="8">
        <v>240.0</v>
      </c>
      <c r="D63" s="8">
        <v>4.0</v>
      </c>
      <c r="E63" s="8">
        <v>6.0</v>
      </c>
      <c r="F63" s="8">
        <v>4.0</v>
      </c>
      <c r="G63" s="8">
        <v>5.0</v>
      </c>
      <c r="H63" s="8">
        <v>6.0</v>
      </c>
      <c r="I63" s="8">
        <v>6.0</v>
      </c>
      <c r="J63" s="8">
        <v>5.0</v>
      </c>
      <c r="K63" s="8">
        <v>4.0</v>
      </c>
      <c r="AH63" s="6">
        <f t="shared" si="7"/>
        <v>40</v>
      </c>
      <c r="AI63" s="9">
        <f t="shared" si="8"/>
        <v>9600</v>
      </c>
    </row>
    <row r="64" ht="15.75" customHeight="1">
      <c r="A64" s="8" t="s">
        <v>40</v>
      </c>
      <c r="B64" s="8">
        <v>560.0</v>
      </c>
      <c r="G64" s="8">
        <v>1.0</v>
      </c>
      <c r="L64" s="8">
        <v>1.0</v>
      </c>
      <c r="AH64" s="6">
        <f t="shared" si="7"/>
        <v>2</v>
      </c>
      <c r="AI64" s="9">
        <f t="shared" si="8"/>
        <v>1120</v>
      </c>
    </row>
    <row r="65" ht="15.75" customHeight="1">
      <c r="A65" s="8" t="s">
        <v>41</v>
      </c>
      <c r="B65" s="8">
        <v>190.0</v>
      </c>
      <c r="C65" s="8">
        <v>1.0</v>
      </c>
      <c r="F65" s="8">
        <v>1.0</v>
      </c>
      <c r="H65" s="8">
        <v>1.0</v>
      </c>
      <c r="I65" s="8">
        <v>1.0</v>
      </c>
      <c r="AH65" s="6">
        <f t="shared" si="7"/>
        <v>4</v>
      </c>
      <c r="AI65" s="9">
        <f t="shared" si="8"/>
        <v>760</v>
      </c>
    </row>
    <row r="66" ht="15.75" customHeight="1">
      <c r="A66" s="8" t="s">
        <v>42</v>
      </c>
      <c r="B66" s="8">
        <v>29.0</v>
      </c>
      <c r="E66" s="8">
        <v>5.0</v>
      </c>
      <c r="H66" s="8">
        <v>5.0</v>
      </c>
      <c r="I66" s="8">
        <v>5.0</v>
      </c>
      <c r="AH66" s="6">
        <f t="shared" si="7"/>
        <v>15</v>
      </c>
      <c r="AI66" s="9">
        <f t="shared" si="8"/>
        <v>435</v>
      </c>
    </row>
    <row r="67" ht="15.75" customHeight="1">
      <c r="A67" s="8" t="s">
        <v>43</v>
      </c>
      <c r="B67" s="8">
        <v>249.0</v>
      </c>
      <c r="I67" s="8">
        <v>1.0</v>
      </c>
      <c r="AH67" s="6">
        <f t="shared" si="7"/>
        <v>1</v>
      </c>
      <c r="AI67" s="9">
        <f t="shared" si="8"/>
        <v>249</v>
      </c>
    </row>
    <row r="68" ht="15.75" customHeight="1">
      <c r="A68" s="8" t="s">
        <v>44</v>
      </c>
      <c r="B68" s="8">
        <v>186.0</v>
      </c>
      <c r="I68" s="8">
        <v>1.0</v>
      </c>
      <c r="AH68" s="6">
        <f t="shared" si="7"/>
        <v>1</v>
      </c>
      <c r="AI68" s="9">
        <f t="shared" si="8"/>
        <v>186</v>
      </c>
    </row>
    <row r="69" ht="15.75" customHeight="1">
      <c r="A69" s="8" t="s">
        <v>45</v>
      </c>
      <c r="B69" s="8">
        <v>219.0</v>
      </c>
      <c r="C69" s="8">
        <v>1.0</v>
      </c>
      <c r="AH69" s="6">
        <f t="shared" si="7"/>
        <v>1</v>
      </c>
      <c r="AI69" s="9">
        <f t="shared" si="8"/>
        <v>219</v>
      </c>
    </row>
    <row r="70" ht="15.75" customHeight="1">
      <c r="A70" s="8" t="s">
        <v>46</v>
      </c>
      <c r="B70" s="8">
        <v>214.0</v>
      </c>
      <c r="E70" s="8">
        <v>1.0</v>
      </c>
      <c r="L70" s="8">
        <v>1.0</v>
      </c>
      <c r="AH70" s="6">
        <f t="shared" si="7"/>
        <v>2</v>
      </c>
      <c r="AI70" s="9">
        <f t="shared" si="8"/>
        <v>428</v>
      </c>
    </row>
    <row r="71" ht="15.75" customHeight="1">
      <c r="A71" s="8" t="s">
        <v>47</v>
      </c>
      <c r="AH71" s="6">
        <f t="shared" si="7"/>
        <v>0</v>
      </c>
      <c r="AI71" s="9">
        <f t="shared" si="8"/>
        <v>0</v>
      </c>
    </row>
    <row r="72" ht="15.75" customHeight="1">
      <c r="A72" s="8" t="s">
        <v>48</v>
      </c>
      <c r="B72" s="8">
        <v>185.0</v>
      </c>
      <c r="C72" s="8">
        <v>2.0</v>
      </c>
      <c r="L72" s="8">
        <v>2.0</v>
      </c>
      <c r="AH72" s="6">
        <f t="shared" si="7"/>
        <v>4</v>
      </c>
      <c r="AI72" s="9">
        <f t="shared" si="8"/>
        <v>740</v>
      </c>
    </row>
    <row r="73" ht="15.75" customHeight="1">
      <c r="A73" s="8" t="s">
        <v>49</v>
      </c>
      <c r="B73" s="8">
        <v>315.0</v>
      </c>
      <c r="E73" s="8">
        <v>1.0</v>
      </c>
      <c r="L73" s="8">
        <v>1.0</v>
      </c>
      <c r="AH73" s="6">
        <f t="shared" si="7"/>
        <v>2</v>
      </c>
      <c r="AI73" s="9">
        <f t="shared" si="8"/>
        <v>630</v>
      </c>
    </row>
    <row r="74" ht="15.75" customHeight="1">
      <c r="A74" s="8" t="s">
        <v>50</v>
      </c>
      <c r="B74" s="8">
        <v>130.0</v>
      </c>
      <c r="I74" s="8">
        <v>1.0</v>
      </c>
      <c r="AH74" s="6">
        <f t="shared" si="7"/>
        <v>1</v>
      </c>
      <c r="AI74" s="9">
        <f t="shared" si="8"/>
        <v>130</v>
      </c>
    </row>
    <row r="75" ht="15.75" customHeight="1">
      <c r="A75" s="8" t="s">
        <v>51</v>
      </c>
      <c r="AH75" s="6">
        <f t="shared" si="7"/>
        <v>0</v>
      </c>
      <c r="AI75" s="9">
        <f t="shared" si="8"/>
        <v>0</v>
      </c>
    </row>
    <row r="76" ht="15.75" customHeight="1">
      <c r="A76" s="8" t="s">
        <v>52</v>
      </c>
      <c r="B76" s="8">
        <v>591.0</v>
      </c>
      <c r="F76" s="8">
        <v>1.0</v>
      </c>
      <c r="AH76" s="6">
        <f t="shared" si="7"/>
        <v>1</v>
      </c>
      <c r="AI76" s="9">
        <f t="shared" si="8"/>
        <v>591</v>
      </c>
    </row>
    <row r="77" ht="15.75" customHeight="1">
      <c r="A77" s="11" t="s">
        <v>53</v>
      </c>
      <c r="B77" s="8">
        <v>586.0</v>
      </c>
      <c r="F77" s="8">
        <v>1.0</v>
      </c>
      <c r="AH77" s="6">
        <f t="shared" si="7"/>
        <v>1</v>
      </c>
      <c r="AI77" s="9">
        <f t="shared" si="8"/>
        <v>586</v>
      </c>
    </row>
    <row r="78" ht="15.75" customHeight="1">
      <c r="A78" s="11" t="s">
        <v>54</v>
      </c>
      <c r="B78" s="8">
        <v>466.0</v>
      </c>
      <c r="F78" s="8">
        <v>1.0</v>
      </c>
      <c r="AH78" s="6">
        <f t="shared" si="7"/>
        <v>1</v>
      </c>
      <c r="AI78" s="9">
        <f t="shared" si="8"/>
        <v>466</v>
      </c>
    </row>
    <row r="79" ht="15.75" customHeight="1">
      <c r="A79" s="11" t="s">
        <v>55</v>
      </c>
      <c r="AH79" s="6">
        <f t="shared" si="7"/>
        <v>0</v>
      </c>
      <c r="AI79" s="9">
        <f t="shared" si="8"/>
        <v>0</v>
      </c>
    </row>
    <row r="80" ht="15.75" customHeight="1">
      <c r="A80" s="11" t="s">
        <v>56</v>
      </c>
      <c r="B80" s="8">
        <v>536.0</v>
      </c>
      <c r="L80" s="8">
        <v>1.0</v>
      </c>
      <c r="AH80" s="6">
        <f t="shared" si="7"/>
        <v>1</v>
      </c>
      <c r="AI80" s="9">
        <f t="shared" si="8"/>
        <v>536</v>
      </c>
    </row>
    <row r="81" ht="15.75" customHeight="1">
      <c r="A81" s="11" t="s">
        <v>57</v>
      </c>
      <c r="AH81" s="6">
        <f t="shared" si="7"/>
        <v>0</v>
      </c>
      <c r="AI81" s="9">
        <f t="shared" si="8"/>
        <v>0</v>
      </c>
    </row>
    <row r="82" ht="15.75" customHeight="1">
      <c r="A82" s="11" t="s">
        <v>58</v>
      </c>
      <c r="B82" s="8">
        <v>115.0</v>
      </c>
      <c r="E82" s="8">
        <v>3.0</v>
      </c>
      <c r="I82" s="8">
        <v>4.0</v>
      </c>
      <c r="AH82" s="6">
        <f t="shared" si="7"/>
        <v>7</v>
      </c>
      <c r="AI82" s="9">
        <f t="shared" si="8"/>
        <v>805</v>
      </c>
    </row>
    <row r="83" ht="15.75" customHeight="1">
      <c r="A83" s="11" t="s">
        <v>59</v>
      </c>
      <c r="B83" s="11">
        <v>79.0</v>
      </c>
      <c r="C83" s="11"/>
      <c r="D83" s="11"/>
      <c r="E83" s="11">
        <v>1.0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6">
        <f t="shared" si="7"/>
        <v>1</v>
      </c>
      <c r="AI83" s="9">
        <f t="shared" si="8"/>
        <v>79</v>
      </c>
    </row>
    <row r="84" ht="15.75" customHeight="1">
      <c r="A84" s="11" t="s">
        <v>60</v>
      </c>
      <c r="B84" s="11">
        <v>229.0</v>
      </c>
      <c r="C84" s="11"/>
      <c r="D84" s="11"/>
      <c r="E84" s="11">
        <v>1.0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6">
        <f t="shared" si="7"/>
        <v>1</v>
      </c>
      <c r="AI84" s="9">
        <f t="shared" si="8"/>
        <v>229</v>
      </c>
    </row>
    <row r="85" ht="15.75" customHeight="1">
      <c r="A85" s="11" t="s">
        <v>61</v>
      </c>
      <c r="B85" s="8">
        <v>850.0</v>
      </c>
      <c r="E85" s="8">
        <v>0.5</v>
      </c>
      <c r="AH85" s="6">
        <f t="shared" si="7"/>
        <v>0.5</v>
      </c>
      <c r="AI85" s="9">
        <f t="shared" si="8"/>
        <v>425</v>
      </c>
    </row>
    <row r="86" ht="15.75" customHeight="1">
      <c r="A86" s="11" t="s">
        <v>62</v>
      </c>
      <c r="AH86" s="6">
        <f t="shared" si="7"/>
        <v>0</v>
      </c>
      <c r="AI86" s="9">
        <f t="shared" si="8"/>
        <v>0</v>
      </c>
    </row>
    <row r="87" ht="15.75" customHeight="1">
      <c r="A87" s="11" t="s">
        <v>63</v>
      </c>
      <c r="AH87" s="6">
        <f t="shared" si="7"/>
        <v>0</v>
      </c>
      <c r="AI87" s="9">
        <f t="shared" si="8"/>
        <v>0</v>
      </c>
    </row>
    <row r="88" ht="15.75" customHeight="1">
      <c r="A88" s="11" t="s">
        <v>64</v>
      </c>
      <c r="AH88" s="6">
        <f t="shared" si="7"/>
        <v>0</v>
      </c>
      <c r="AI88" s="9">
        <f t="shared" si="8"/>
        <v>0</v>
      </c>
    </row>
    <row r="89" ht="15.75" customHeight="1">
      <c r="A89" s="11" t="s">
        <v>65</v>
      </c>
      <c r="AH89" s="6">
        <f t="shared" si="7"/>
        <v>0</v>
      </c>
      <c r="AI89" s="9">
        <f t="shared" si="8"/>
        <v>0</v>
      </c>
    </row>
    <row r="90" ht="15.75" customHeight="1">
      <c r="A90" s="11" t="s">
        <v>66</v>
      </c>
      <c r="B90" s="8">
        <v>280.0</v>
      </c>
      <c r="C90" s="8">
        <v>1.0</v>
      </c>
      <c r="I90" s="8">
        <v>1.0</v>
      </c>
      <c r="AH90" s="6">
        <f t="shared" si="7"/>
        <v>2</v>
      </c>
      <c r="AI90" s="9">
        <f t="shared" si="8"/>
        <v>560</v>
      </c>
    </row>
    <row r="91" ht="15.75" customHeight="1">
      <c r="A91" s="11" t="s">
        <v>67</v>
      </c>
      <c r="AH91" s="6">
        <f t="shared" si="7"/>
        <v>0</v>
      </c>
      <c r="AI91" s="9">
        <f t="shared" si="8"/>
        <v>0</v>
      </c>
    </row>
    <row r="92" ht="15.75" customHeight="1">
      <c r="A92" s="11" t="s">
        <v>68</v>
      </c>
      <c r="AH92" s="6">
        <f t="shared" si="7"/>
        <v>0</v>
      </c>
      <c r="AI92" s="9">
        <f t="shared" si="8"/>
        <v>0</v>
      </c>
    </row>
    <row r="93" ht="15.75" customHeight="1">
      <c r="A93" s="11" t="s">
        <v>69</v>
      </c>
      <c r="B93" s="8">
        <v>80.0</v>
      </c>
      <c r="E93" s="8">
        <v>2.0</v>
      </c>
      <c r="H93" s="8">
        <v>1.0</v>
      </c>
      <c r="I93" s="8">
        <v>1.0</v>
      </c>
      <c r="AH93" s="6">
        <f t="shared" si="7"/>
        <v>4</v>
      </c>
      <c r="AI93" s="9">
        <f t="shared" si="8"/>
        <v>320</v>
      </c>
    </row>
    <row r="94" ht="15.75" customHeight="1">
      <c r="A94" s="11" t="s">
        <v>70</v>
      </c>
      <c r="B94" s="8">
        <v>285.0</v>
      </c>
      <c r="C94" s="8">
        <v>1.0</v>
      </c>
      <c r="E94" s="8">
        <v>1.0</v>
      </c>
      <c r="G94" s="8">
        <v>1.0</v>
      </c>
      <c r="I94" s="8">
        <v>1.0</v>
      </c>
      <c r="AH94" s="6">
        <f t="shared" si="7"/>
        <v>4</v>
      </c>
      <c r="AI94" s="9">
        <f t="shared" si="8"/>
        <v>1140</v>
      </c>
    </row>
    <row r="95" ht="15.75" customHeight="1">
      <c r="A95" s="11" t="s">
        <v>71</v>
      </c>
      <c r="B95" s="8">
        <v>475.0</v>
      </c>
      <c r="C95" s="8">
        <v>1.0</v>
      </c>
      <c r="G95" s="8">
        <v>1.0</v>
      </c>
      <c r="I95" s="8">
        <v>1.0</v>
      </c>
      <c r="AH95" s="6">
        <f t="shared" si="7"/>
        <v>3</v>
      </c>
      <c r="AI95" s="9">
        <f t="shared" si="8"/>
        <v>1425</v>
      </c>
    </row>
    <row r="96" ht="15.75" customHeight="1">
      <c r="A96" s="11" t="s">
        <v>72</v>
      </c>
      <c r="B96" s="8">
        <v>151.0</v>
      </c>
      <c r="C96" s="8">
        <v>2.0</v>
      </c>
      <c r="E96" s="8">
        <v>1.0</v>
      </c>
      <c r="F96" s="8">
        <v>1.0</v>
      </c>
      <c r="I96" s="8">
        <v>1.0</v>
      </c>
      <c r="AH96" s="6">
        <f t="shared" si="7"/>
        <v>5</v>
      </c>
      <c r="AI96" s="9">
        <f t="shared" si="8"/>
        <v>755</v>
      </c>
    </row>
    <row r="97" ht="15.75" customHeight="1">
      <c r="A97" s="11" t="s">
        <v>73</v>
      </c>
      <c r="AH97" s="6">
        <f t="shared" si="7"/>
        <v>0</v>
      </c>
      <c r="AI97" s="9">
        <f t="shared" si="8"/>
        <v>0</v>
      </c>
    </row>
    <row r="98" ht="15.75" customHeight="1">
      <c r="A98" s="11" t="s">
        <v>74</v>
      </c>
      <c r="B98" s="8">
        <v>220.0</v>
      </c>
      <c r="I98" s="8">
        <v>1.0</v>
      </c>
      <c r="AH98" s="6">
        <f t="shared" si="7"/>
        <v>1</v>
      </c>
      <c r="AI98" s="9">
        <f t="shared" si="8"/>
        <v>220</v>
      </c>
    </row>
    <row r="99" ht="15.75" customHeight="1">
      <c r="A99" s="11" t="s">
        <v>75</v>
      </c>
      <c r="B99" s="8">
        <v>125.0</v>
      </c>
      <c r="L99" s="8">
        <v>2.0</v>
      </c>
      <c r="AH99" s="6"/>
      <c r="AI99" s="9"/>
    </row>
    <row r="100" ht="15.75" customHeight="1">
      <c r="A100" s="11" t="s">
        <v>76</v>
      </c>
      <c r="B100" s="8">
        <v>39.0</v>
      </c>
      <c r="L100" s="8">
        <v>10.0</v>
      </c>
      <c r="AH100" s="6"/>
      <c r="AI100" s="9"/>
    </row>
    <row r="101" ht="15.75" customHeight="1">
      <c r="A101" s="11" t="s">
        <v>77</v>
      </c>
      <c r="C101" s="8">
        <v>398.0</v>
      </c>
      <c r="F101" s="8">
        <v>700.0</v>
      </c>
      <c r="H101" s="8">
        <v>1483.0</v>
      </c>
      <c r="I101" s="8">
        <v>516.0</v>
      </c>
      <c r="J101" s="8">
        <v>289.0</v>
      </c>
      <c r="AH101" s="6">
        <f>SUM(C101:AF101)</f>
        <v>3386</v>
      </c>
      <c r="AI101" s="9">
        <f>SUM(C101:AF101)*B101</f>
        <v>0</v>
      </c>
    </row>
    <row r="102" ht="15.75" customHeight="1">
      <c r="AI102" s="9"/>
    </row>
    <row r="103" ht="15.75" customHeight="1">
      <c r="AI103" s="9"/>
    </row>
    <row r="104" ht="15.75" customHeight="1">
      <c r="A104" s="4" t="s">
        <v>4</v>
      </c>
      <c r="AI104" s="7">
        <f>SUM(AI58:AI101)</f>
        <v>39596</v>
      </c>
    </row>
    <row r="105" ht="15.75" customHeight="1"/>
    <row r="106" ht="15.75" customHeight="1">
      <c r="A106" s="1" t="s">
        <v>78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3"/>
    </row>
    <row r="107" ht="15.75" customHeight="1">
      <c r="A107" s="4" t="s">
        <v>1</v>
      </c>
      <c r="B107" s="4" t="s">
        <v>2</v>
      </c>
      <c r="C107" s="5">
        <v>46174.0</v>
      </c>
      <c r="D107" s="5">
        <v>46175.0</v>
      </c>
      <c r="E107" s="5">
        <v>46176.0</v>
      </c>
      <c r="F107" s="5">
        <v>46177.0</v>
      </c>
      <c r="G107" s="5">
        <v>46178.0</v>
      </c>
      <c r="H107" s="5">
        <v>46179.0</v>
      </c>
      <c r="I107" s="5">
        <v>46180.0</v>
      </c>
      <c r="J107" s="5">
        <v>46181.0</v>
      </c>
      <c r="K107" s="5">
        <v>46182.0</v>
      </c>
      <c r="L107" s="5">
        <v>46183.0</v>
      </c>
      <c r="M107" s="5">
        <v>46184.0</v>
      </c>
      <c r="N107" s="5">
        <v>46185.0</v>
      </c>
      <c r="O107" s="5">
        <v>46186.0</v>
      </c>
      <c r="P107" s="5">
        <v>46187.0</v>
      </c>
      <c r="Q107" s="5">
        <v>46188.0</v>
      </c>
      <c r="R107" s="5">
        <v>46189.0</v>
      </c>
      <c r="S107" s="5">
        <v>46190.0</v>
      </c>
      <c r="T107" s="5">
        <v>46191.0</v>
      </c>
      <c r="U107" s="5">
        <v>46192.0</v>
      </c>
      <c r="V107" s="5">
        <v>46193.0</v>
      </c>
      <c r="W107" s="5">
        <v>46194.0</v>
      </c>
      <c r="X107" s="5">
        <v>46195.0</v>
      </c>
      <c r="Y107" s="5">
        <v>46196.0</v>
      </c>
      <c r="Z107" s="5">
        <v>46197.0</v>
      </c>
      <c r="AA107" s="5">
        <v>46198.0</v>
      </c>
      <c r="AB107" s="5">
        <v>46199.0</v>
      </c>
      <c r="AC107" s="5">
        <v>46200.0</v>
      </c>
      <c r="AD107" s="5">
        <v>46201.0</v>
      </c>
      <c r="AE107" s="5">
        <v>46202.0</v>
      </c>
      <c r="AF107" s="5">
        <v>46203.0</v>
      </c>
      <c r="AG107" s="5"/>
      <c r="AH107" s="6" t="s">
        <v>3</v>
      </c>
      <c r="AI107" s="7" t="s">
        <v>4</v>
      </c>
    </row>
    <row r="108" ht="15.75" customHeight="1">
      <c r="AH108" s="6">
        <f t="shared" ref="AH108:AH122" si="9">SUM(C108:AF108)</f>
        <v>0</v>
      </c>
      <c r="AI108" s="9">
        <f t="shared" ref="AI108:AI132" si="10">SUM(C108:AF108)*B108</f>
        <v>0</v>
      </c>
    </row>
    <row r="109" ht="15.75" customHeight="1">
      <c r="A109" s="8" t="s">
        <v>79</v>
      </c>
      <c r="B109" s="10">
        <v>500.0</v>
      </c>
      <c r="M109" s="10">
        <v>1.0</v>
      </c>
      <c r="AH109" s="6">
        <f t="shared" si="9"/>
        <v>1</v>
      </c>
      <c r="AI109" s="9">
        <f t="shared" si="10"/>
        <v>500</v>
      </c>
    </row>
    <row r="110" ht="15.75" customHeight="1">
      <c r="A110" s="8" t="s">
        <v>80</v>
      </c>
      <c r="B110" s="10">
        <v>400.0</v>
      </c>
      <c r="M110" s="10">
        <v>1.0</v>
      </c>
      <c r="AH110" s="6">
        <f t="shared" si="9"/>
        <v>1</v>
      </c>
      <c r="AI110" s="9">
        <f t="shared" si="10"/>
        <v>400</v>
      </c>
    </row>
    <row r="111" ht="15.75" customHeight="1">
      <c r="A111" s="8" t="s">
        <v>81</v>
      </c>
      <c r="B111" s="10">
        <v>7.0</v>
      </c>
      <c r="M111" s="10">
        <v>20.0</v>
      </c>
      <c r="AH111" s="6">
        <f t="shared" si="9"/>
        <v>20</v>
      </c>
      <c r="AI111" s="9">
        <f t="shared" si="10"/>
        <v>140</v>
      </c>
    </row>
    <row r="112" ht="15.75" customHeight="1">
      <c r="A112" s="8" t="s">
        <v>82</v>
      </c>
      <c r="B112" s="10">
        <v>5.0</v>
      </c>
      <c r="M112" s="10">
        <v>20.0</v>
      </c>
      <c r="AH112" s="6">
        <f t="shared" si="9"/>
        <v>20</v>
      </c>
      <c r="AI112" s="9">
        <f t="shared" si="10"/>
        <v>100</v>
      </c>
    </row>
    <row r="113" ht="15.75" customHeight="1">
      <c r="A113" s="8" t="s">
        <v>83</v>
      </c>
      <c r="B113" s="10">
        <v>50.0</v>
      </c>
      <c r="M113" s="10">
        <v>5.0</v>
      </c>
      <c r="AH113" s="6">
        <f t="shared" si="9"/>
        <v>5</v>
      </c>
      <c r="AI113" s="9">
        <f t="shared" si="10"/>
        <v>250</v>
      </c>
    </row>
    <row r="114" ht="15.75" customHeight="1">
      <c r="A114" s="8" t="s">
        <v>84</v>
      </c>
      <c r="B114" s="10">
        <v>50.0</v>
      </c>
      <c r="M114" s="10">
        <v>3.0</v>
      </c>
      <c r="AH114" s="6">
        <f t="shared" si="9"/>
        <v>3</v>
      </c>
      <c r="AI114" s="9">
        <f t="shared" si="10"/>
        <v>150</v>
      </c>
    </row>
    <row r="115" ht="15.75" customHeight="1">
      <c r="A115" s="8" t="s">
        <v>85</v>
      </c>
      <c r="B115" s="10">
        <v>40.0</v>
      </c>
      <c r="M115" s="10">
        <v>3.0</v>
      </c>
      <c r="AH115" s="6">
        <f t="shared" si="9"/>
        <v>3</v>
      </c>
      <c r="AI115" s="9">
        <f t="shared" si="10"/>
        <v>120</v>
      </c>
    </row>
    <row r="116" ht="15.75" customHeight="1">
      <c r="A116" s="8" t="s">
        <v>86</v>
      </c>
      <c r="B116" s="10">
        <v>20.0</v>
      </c>
      <c r="M116" s="10">
        <v>5.0</v>
      </c>
      <c r="AH116" s="6">
        <f t="shared" si="9"/>
        <v>5</v>
      </c>
      <c r="AI116" s="9">
        <f t="shared" si="10"/>
        <v>100</v>
      </c>
    </row>
    <row r="117" ht="15.75" customHeight="1">
      <c r="A117" s="8" t="s">
        <v>87</v>
      </c>
      <c r="B117" s="10">
        <v>120.0</v>
      </c>
      <c r="M117" s="10">
        <v>3.0</v>
      </c>
      <c r="AH117" s="6">
        <f t="shared" si="9"/>
        <v>3</v>
      </c>
      <c r="AI117" s="9">
        <f t="shared" si="10"/>
        <v>360</v>
      </c>
    </row>
    <row r="118" ht="15.75" customHeight="1">
      <c r="A118" s="8" t="s">
        <v>88</v>
      </c>
      <c r="B118" s="10">
        <v>40.0</v>
      </c>
      <c r="M118" s="10">
        <v>2.0</v>
      </c>
      <c r="AH118" s="6">
        <f t="shared" si="9"/>
        <v>2</v>
      </c>
      <c r="AI118" s="9">
        <f t="shared" si="10"/>
        <v>80</v>
      </c>
    </row>
    <row r="119" ht="15.75" customHeight="1">
      <c r="A119" s="8" t="s">
        <v>89</v>
      </c>
      <c r="AH119" s="6">
        <f t="shared" si="9"/>
        <v>0</v>
      </c>
      <c r="AI119" s="9">
        <f t="shared" si="10"/>
        <v>0</v>
      </c>
    </row>
    <row r="120" ht="15.75" customHeight="1">
      <c r="A120" s="8" t="s">
        <v>90</v>
      </c>
      <c r="B120" s="10">
        <v>40.0</v>
      </c>
      <c r="M120" s="10">
        <v>2.0</v>
      </c>
      <c r="AH120" s="6">
        <f t="shared" si="9"/>
        <v>2</v>
      </c>
      <c r="AI120" s="9">
        <f t="shared" si="10"/>
        <v>80</v>
      </c>
    </row>
    <row r="121" ht="15.75" customHeight="1">
      <c r="A121" s="8" t="s">
        <v>91</v>
      </c>
      <c r="B121" s="10">
        <v>40.0</v>
      </c>
      <c r="M121" s="10">
        <v>10.0</v>
      </c>
      <c r="AH121" s="6">
        <f t="shared" si="9"/>
        <v>10</v>
      </c>
      <c r="AI121" s="9">
        <f t="shared" si="10"/>
        <v>400</v>
      </c>
    </row>
    <row r="122" ht="15.75" customHeight="1">
      <c r="A122" s="8" t="s">
        <v>92</v>
      </c>
      <c r="AH122" s="6">
        <f t="shared" si="9"/>
        <v>0</v>
      </c>
      <c r="AI122" s="9">
        <f t="shared" si="10"/>
        <v>0</v>
      </c>
    </row>
    <row r="123" ht="15.75" customHeight="1">
      <c r="A123" s="8" t="s">
        <v>93</v>
      </c>
      <c r="AI123" s="9">
        <f t="shared" si="10"/>
        <v>0</v>
      </c>
    </row>
    <row r="124" ht="15.75" customHeight="1">
      <c r="A124" s="8" t="s">
        <v>94</v>
      </c>
      <c r="AI124" s="9">
        <f t="shared" si="10"/>
        <v>0</v>
      </c>
    </row>
    <row r="125" ht="15.75" customHeight="1">
      <c r="A125" s="11" t="s">
        <v>95</v>
      </c>
      <c r="AI125" s="9">
        <f t="shared" si="10"/>
        <v>0</v>
      </c>
    </row>
    <row r="126" ht="15.75" customHeight="1">
      <c r="A126" s="11" t="s">
        <v>96</v>
      </c>
      <c r="B126" s="10">
        <v>250.0</v>
      </c>
      <c r="E126" s="8">
        <v>1.0</v>
      </c>
      <c r="M126" s="10">
        <v>2.0</v>
      </c>
      <c r="AI126" s="9">
        <f t="shared" si="10"/>
        <v>750</v>
      </c>
    </row>
    <row r="127" ht="15.75" customHeight="1">
      <c r="A127" s="11" t="s">
        <v>97</v>
      </c>
      <c r="B127" s="8">
        <v>428.0</v>
      </c>
      <c r="E127" s="8">
        <v>2.0</v>
      </c>
      <c r="G127" s="8">
        <v>1.0</v>
      </c>
      <c r="I127" s="8">
        <v>1.0</v>
      </c>
      <c r="L127" s="8">
        <v>1.0</v>
      </c>
      <c r="AI127" s="9">
        <f t="shared" si="10"/>
        <v>2140</v>
      </c>
    </row>
    <row r="128" ht="15.75" customHeight="1">
      <c r="A128" s="11" t="s">
        <v>98</v>
      </c>
      <c r="B128" s="8">
        <v>249.0</v>
      </c>
      <c r="L128" s="8">
        <v>2.0</v>
      </c>
      <c r="AI128" s="9">
        <f t="shared" si="10"/>
        <v>498</v>
      </c>
    </row>
    <row r="129" ht="15.75" customHeight="1">
      <c r="A129" s="11" t="s">
        <v>99</v>
      </c>
      <c r="B129" s="8">
        <v>714.0</v>
      </c>
      <c r="E129" s="8">
        <v>1.0</v>
      </c>
      <c r="I129" s="8">
        <v>1.0</v>
      </c>
      <c r="AI129" s="9">
        <f t="shared" si="10"/>
        <v>1428</v>
      </c>
    </row>
    <row r="130" ht="15.75" customHeight="1">
      <c r="A130" s="11" t="s">
        <v>100</v>
      </c>
      <c r="B130" s="8">
        <v>178.0</v>
      </c>
      <c r="E130" s="8">
        <v>2.0</v>
      </c>
      <c r="AI130" s="9">
        <f t="shared" si="10"/>
        <v>356</v>
      </c>
    </row>
    <row r="131" ht="15.75" customHeight="1">
      <c r="A131" s="11" t="s">
        <v>101</v>
      </c>
      <c r="B131" s="8">
        <v>250.0</v>
      </c>
      <c r="E131" s="8">
        <v>1.0</v>
      </c>
      <c r="AI131" s="9">
        <f t="shared" si="10"/>
        <v>250</v>
      </c>
    </row>
    <row r="132" ht="15.75" customHeight="1">
      <c r="A132" s="10" t="s">
        <v>102</v>
      </c>
      <c r="B132" s="10">
        <v>210.0</v>
      </c>
      <c r="M132" s="10">
        <v>1.0</v>
      </c>
      <c r="AI132" s="9">
        <f t="shared" si="10"/>
        <v>210</v>
      </c>
    </row>
    <row r="133" ht="15.75" customHeight="1"/>
    <row r="134" ht="15.75" customHeight="1"/>
    <row r="135" ht="15.75" customHeight="1"/>
    <row r="136" ht="15.75" customHeight="1">
      <c r="AI136" s="9">
        <f>SUM(AI119:AI134)</f>
        <v>6112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AI1"/>
    <mergeCell ref="A25:AI25"/>
    <mergeCell ref="A39:AI39"/>
    <mergeCell ref="A56:AI56"/>
    <mergeCell ref="A106:AI10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2026-06-09T13:58:06Z</dcterms:created>
  <dc:creator>ACER</dc:creator>
</cp:coreProperties>
</file>