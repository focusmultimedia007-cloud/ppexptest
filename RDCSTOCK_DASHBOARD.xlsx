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/M/YYYY"/>
    <numFmt numFmtId="165" formatCode="&quot;Rs.&quot;#,##0.00"/>
    <numFmt numFmtId="166" formatCode="0.0&quot;%&quot;"/>
    <numFmt numFmtId="167" formatCode="#,##0.00;-#,##0;&quot;-&quot;"/>
    <numFmt numFmtId="168" formatCode="&quot;Rs.&quot;#,##0.00;[Red]&quot;Rs.&quot;-#,##0.00;&quot;-&quot;"/>
  </numFmts>
  <fonts count="51">
    <font>
      <name val="Calibri"/>
      <color theme="1"/>
      <sz val="11"/>
      <scheme val="minor"/>
    </font>
    <font>
      <name val="Calibri"/>
      <b val="1"/>
      <color theme="1"/>
      <sz val="14"/>
    </font>
    <font/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cheme val="minor"/>
    </font>
    <font>
      <name val="Calibri"/>
      <b val="1"/>
      <color rgb="00FFFFFF"/>
      <sz val="22"/>
    </font>
    <font>
      <name val="Calibri"/>
      <i val="1"/>
      <color rgb="00C8DCFF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A5C2A"/>
      <sz val="11"/>
    </font>
    <font>
      <name val="Calibri"/>
      <b val="1"/>
      <color rgb="001A5C2A"/>
      <sz val="12"/>
    </font>
    <font>
      <name val="Calibri"/>
      <color rgb="001A5C2A"/>
      <sz val="10"/>
    </font>
    <font>
      <name val="Calibri"/>
      <color rgb="00000000"/>
      <sz val="11"/>
    </font>
    <font>
      <name val="Calibri"/>
      <b val="1"/>
      <color rgb="008B3000"/>
      <sz val="11"/>
    </font>
    <font>
      <name val="Calibri"/>
      <b val="1"/>
      <color rgb="008B3000"/>
      <sz val="12"/>
    </font>
    <font>
      <name val="Calibri"/>
      <color rgb="008B3000"/>
      <sz val="10"/>
    </font>
    <font>
      <name val="Calibri"/>
      <b val="1"/>
      <color rgb="006D4C1F"/>
      <sz val="11"/>
    </font>
    <font>
      <name val="Calibri"/>
      <b val="1"/>
      <color rgb="006D4C1F"/>
      <sz val="12"/>
    </font>
    <font>
      <name val="Calibri"/>
      <color rgb="006D4C1F"/>
      <sz val="10"/>
    </font>
    <font>
      <name val="Calibri"/>
      <b val="1"/>
      <color rgb="004A148C"/>
      <sz val="11"/>
    </font>
    <font>
      <name val="Calibri"/>
      <b val="1"/>
      <color rgb="004A148C"/>
      <sz val="12"/>
    </font>
    <font>
      <name val="Calibri"/>
      <color rgb="004A148C"/>
      <sz val="10"/>
    </font>
    <font>
      <name val="Calibri"/>
      <b val="1"/>
      <color rgb="00006064"/>
      <sz val="11"/>
    </font>
    <font>
      <name val="Calibri"/>
      <b val="1"/>
      <color rgb="00006064"/>
      <sz val="12"/>
    </font>
    <font>
      <name val="Calibri"/>
      <color rgb="00006064"/>
      <sz val="10"/>
    </font>
    <font>
      <name val="Calibri"/>
      <b val="1"/>
      <color rgb="00000000"/>
      <sz val="11"/>
    </font>
    <font>
      <name val="Calibri"/>
      <b val="1"/>
      <color rgb="008B6914"/>
      <sz val="13"/>
    </font>
    <font>
      <name val="Calibri"/>
      <b val="1"/>
      <color rgb="008B6914"/>
      <sz val="11"/>
    </font>
    <font>
      <name val="Calibri"/>
      <b val="1"/>
      <color rgb="00FFFFFF"/>
      <sz val="14"/>
    </font>
    <font>
      <name val="Calibri"/>
      <b val="1"/>
      <color rgb="001A5C2A"/>
      <sz val="9"/>
    </font>
    <font>
      <name val="Calibri"/>
      <color rgb="001A5C2A"/>
      <sz val="9"/>
    </font>
    <font>
      <name val="Calibri"/>
      <color rgb="00000000"/>
      <sz val="10"/>
    </font>
    <font>
      <name val="Calibri"/>
      <color rgb="00444444"/>
      <sz val="10"/>
    </font>
    <font>
      <name val="Calibri"/>
      <b val="1"/>
      <color rgb="001A5C2A"/>
      <sz val="10"/>
    </font>
    <font>
      <name val="Calibri"/>
      <b val="1"/>
      <color rgb="008B3000"/>
      <sz val="9"/>
    </font>
    <font>
      <name val="Calibri"/>
      <color rgb="008B3000"/>
      <sz val="9"/>
    </font>
    <font>
      <name val="Calibri"/>
      <b val="1"/>
      <color rgb="008B3000"/>
      <sz val="10"/>
    </font>
    <font>
      <name val="Calibri"/>
      <b val="1"/>
      <color rgb="006D4C1F"/>
      <sz val="9"/>
    </font>
    <font>
      <name val="Calibri"/>
      <color rgb="006D4C1F"/>
      <sz val="9"/>
    </font>
    <font>
      <name val="Calibri"/>
      <b val="1"/>
      <color rgb="006D4C1F"/>
      <sz val="10"/>
    </font>
    <font>
      <name val="Calibri"/>
      <b val="1"/>
      <color rgb="004A148C"/>
      <sz val="9"/>
    </font>
    <font>
      <name val="Calibri"/>
      <color rgb="004A148C"/>
      <sz val="9"/>
    </font>
    <font>
      <name val="Calibri"/>
      <b val="1"/>
      <color rgb="004A148C"/>
      <sz val="10"/>
    </font>
    <font>
      <name val="Calibri"/>
      <b val="1"/>
      <color rgb="00006064"/>
      <sz val="9"/>
    </font>
    <font>
      <name val="Calibri"/>
      <color rgb="00006064"/>
      <sz val="9"/>
    </font>
    <font>
      <name val="Calibri"/>
      <b val="1"/>
      <color rgb="00006064"/>
      <sz val="10"/>
    </font>
    <font>
      <name val="Calibri"/>
      <b val="1"/>
      <color rgb="007B3F00"/>
      <sz val="9"/>
    </font>
    <font>
      <name val="Calibri"/>
      <color rgb="003E2723"/>
      <sz val="10"/>
    </font>
    <font>
      <name val="Calibri"/>
      <b val="1"/>
      <color rgb="008B6914"/>
      <sz val="9"/>
    </font>
    <font>
      <name val="Calibri"/>
      <b val="1"/>
      <color rgb="008B6914"/>
      <sz val="10"/>
    </font>
  </fonts>
  <fills count="27">
    <fill>
      <patternFill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  <fill>
      <patternFill patternType="solid">
        <fgColor rgb="FF92CDDC"/>
        <bgColor rgb="FF92CDDC"/>
      </patternFill>
    </fill>
    <fill>
      <patternFill patternType="solid">
        <fgColor rgb="001B2A4A"/>
      </patternFill>
    </fill>
    <fill>
      <patternFill patternType="solid">
        <fgColor rgb="002D5FA8"/>
      </patternFill>
    </fill>
    <fill>
      <patternFill patternType="solid">
        <fgColor rgb="004A7ED6"/>
      </patternFill>
    </fill>
    <fill>
      <patternFill patternType="solid">
        <fgColor rgb="0037474F"/>
      </patternFill>
    </fill>
    <fill>
      <patternFill patternType="solid">
        <fgColor rgb="00E8F5E9"/>
      </patternFill>
    </fill>
    <fill>
      <patternFill patternType="solid">
        <fgColor rgb="0081C784"/>
      </patternFill>
    </fill>
    <fill>
      <patternFill patternType="solid">
        <fgColor rgb="00FFF3E0"/>
      </patternFill>
    </fill>
    <fill>
      <patternFill patternType="solid">
        <fgColor rgb="00FFB300"/>
      </patternFill>
    </fill>
    <fill>
      <patternFill patternType="solid">
        <fgColor rgb="00FFFDE7"/>
      </patternFill>
    </fill>
    <fill>
      <patternFill patternType="solid">
        <fgColor rgb="00FFE082"/>
      </patternFill>
    </fill>
    <fill>
      <patternFill patternType="solid">
        <fgColor rgb="00F3E5F5"/>
      </patternFill>
    </fill>
    <fill>
      <patternFill patternType="solid">
        <fgColor rgb="00CE93D8"/>
      </patternFill>
    </fill>
    <fill>
      <patternFill patternType="solid">
        <fgColor rgb="00E0F7FA"/>
      </patternFill>
    </fill>
    <fill>
      <patternFill patternType="solid">
        <fgColor rgb="0080DEEA"/>
      </patternFill>
    </fill>
    <fill>
      <patternFill patternType="solid">
        <fgColor rgb="00FFD54F"/>
      </patternFill>
    </fill>
    <fill>
      <patternFill patternType="solid">
        <fgColor rgb="001A5C2A"/>
      </patternFill>
    </fill>
    <fill>
      <patternFill patternType="solid">
        <fgColor rgb="00FFFFFF"/>
      </patternFill>
    </fill>
    <fill>
      <patternFill patternType="solid">
        <fgColor rgb="008B3000"/>
      </patternFill>
    </fill>
    <fill>
      <patternFill patternType="solid">
        <fgColor rgb="006D4C1F"/>
      </patternFill>
    </fill>
    <fill>
      <patternFill patternType="solid">
        <fgColor rgb="004A148C"/>
      </patternFill>
    </fill>
    <fill>
      <patternFill patternType="solid">
        <fgColor rgb="00006064"/>
      </patternFill>
    </fill>
    <fill>
      <patternFill patternType="solid">
        <fgColor rgb="00E6510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3" borderId="4" pivotButton="0" quotePrefix="0" xfId="0"/>
    <xf numFmtId="0" fontId="3" fillId="4" borderId="4" pivotButton="0" quotePrefix="0" xfId="0"/>
    <xf numFmtId="0" fontId="5" fillId="0" borderId="0" pivotButton="0" quotePrefix="0" xfId="0"/>
    <xf numFmtId="0" fontId="4" fillId="4" borderId="4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3" borderId="4" pivotButton="0" quotePrefix="0" xfId="0"/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6" fillId="5" borderId="5" applyAlignment="1" pivotButton="0" quotePrefix="0" xfId="0">
      <alignment horizontal="left" vertical="center"/>
    </xf>
    <xf numFmtId="0" fontId="7" fillId="6" borderId="6" applyAlignment="1" pivotButton="0" quotePrefix="0" xfId="0">
      <alignment horizontal="left" vertical="center"/>
    </xf>
    <xf numFmtId="0" fontId="7" fillId="6" borderId="6" applyAlignment="1" pivotButton="0" quotePrefix="0" xfId="0">
      <alignment horizontal="right" vertical="center"/>
    </xf>
    <xf numFmtId="0" fontId="0" fillId="5" borderId="0" pivotButton="0" quotePrefix="0" xfId="0"/>
    <xf numFmtId="0" fontId="8" fillId="7" borderId="6" applyAlignment="1" pivotButton="0" quotePrefix="0" xfId="0">
      <alignment horizontal="left" vertical="center"/>
    </xf>
    <xf numFmtId="0" fontId="9" fillId="8" borderId="6" applyAlignment="1" pivotButton="0" quotePrefix="0" xfId="0">
      <alignment horizontal="center" vertical="center"/>
    </xf>
    <xf numFmtId="0" fontId="10" fillId="9" borderId="6" applyAlignment="1" pivotButton="0" quotePrefix="0" xfId="0">
      <alignment horizontal="center" vertical="center"/>
    </xf>
    <xf numFmtId="0" fontId="10" fillId="9" borderId="6" applyAlignment="1" pivotButton="0" quotePrefix="0" xfId="0">
      <alignment horizontal="left" vertical="center"/>
    </xf>
    <xf numFmtId="165" fontId="11" fillId="9" borderId="6" applyAlignment="1" pivotButton="0" quotePrefix="0" xfId="0">
      <alignment horizontal="center" vertical="center"/>
    </xf>
    <xf numFmtId="166" fontId="12" fillId="9" borderId="6" applyAlignment="1" pivotButton="0" quotePrefix="0" xfId="0">
      <alignment horizontal="center" vertical="center"/>
    </xf>
    <xf numFmtId="0" fontId="13" fillId="10" borderId="6" applyAlignment="1" pivotButton="0" quotePrefix="0" xfId="0">
      <alignment horizontal="center" vertical="center"/>
    </xf>
    <xf numFmtId="0" fontId="14" fillId="11" borderId="6" applyAlignment="1" pivotButton="0" quotePrefix="0" xfId="0">
      <alignment horizontal="center" vertical="center"/>
    </xf>
    <xf numFmtId="0" fontId="14" fillId="11" borderId="6" applyAlignment="1" pivotButton="0" quotePrefix="0" xfId="0">
      <alignment horizontal="left" vertical="center"/>
    </xf>
    <xf numFmtId="165" fontId="15" fillId="11" borderId="6" applyAlignment="1" pivotButton="0" quotePrefix="0" xfId="0">
      <alignment horizontal="center" vertical="center"/>
    </xf>
    <xf numFmtId="166" fontId="16" fillId="11" borderId="6" applyAlignment="1" pivotButton="0" quotePrefix="0" xfId="0">
      <alignment horizontal="center" vertical="center"/>
    </xf>
    <xf numFmtId="0" fontId="13" fillId="12" borderId="6" applyAlignment="1" pivotButton="0" quotePrefix="0" xfId="0">
      <alignment horizontal="center" vertical="center"/>
    </xf>
    <xf numFmtId="0" fontId="17" fillId="13" borderId="6" applyAlignment="1" pivotButton="0" quotePrefix="0" xfId="0">
      <alignment horizontal="center" vertical="center"/>
    </xf>
    <xf numFmtId="0" fontId="17" fillId="13" borderId="6" applyAlignment="1" pivotButton="0" quotePrefix="0" xfId="0">
      <alignment horizontal="left" vertical="center"/>
    </xf>
    <xf numFmtId="165" fontId="18" fillId="13" borderId="6" applyAlignment="1" pivotButton="0" quotePrefix="0" xfId="0">
      <alignment horizontal="center" vertical="center"/>
    </xf>
    <xf numFmtId="166" fontId="19" fillId="13" borderId="6" applyAlignment="1" pivotButton="0" quotePrefix="0" xfId="0">
      <alignment horizontal="center" vertical="center"/>
    </xf>
    <xf numFmtId="0" fontId="13" fillId="14" borderId="6" applyAlignment="1" pivotButton="0" quotePrefix="0" xfId="0">
      <alignment horizontal="center" vertical="center"/>
    </xf>
    <xf numFmtId="0" fontId="20" fillId="15" borderId="6" applyAlignment="1" pivotButton="0" quotePrefix="0" xfId="0">
      <alignment horizontal="center" vertical="center"/>
    </xf>
    <xf numFmtId="0" fontId="20" fillId="15" borderId="6" applyAlignment="1" pivotButton="0" quotePrefix="0" xfId="0">
      <alignment horizontal="left" vertical="center"/>
    </xf>
    <xf numFmtId="165" fontId="21" fillId="15" borderId="6" applyAlignment="1" pivotButton="0" quotePrefix="0" xfId="0">
      <alignment horizontal="center" vertical="center"/>
    </xf>
    <xf numFmtId="166" fontId="22" fillId="15" borderId="6" applyAlignment="1" pivotButton="0" quotePrefix="0" xfId="0">
      <alignment horizontal="center" vertical="center"/>
    </xf>
    <xf numFmtId="0" fontId="13" fillId="16" borderId="6" applyAlignment="1" pivotButton="0" quotePrefix="0" xfId="0">
      <alignment horizontal="center" vertical="center"/>
    </xf>
    <xf numFmtId="0" fontId="23" fillId="17" borderId="6" applyAlignment="1" pivotButton="0" quotePrefix="0" xfId="0">
      <alignment horizontal="center" vertical="center"/>
    </xf>
    <xf numFmtId="0" fontId="23" fillId="17" borderId="6" applyAlignment="1" pivotButton="0" quotePrefix="0" xfId="0">
      <alignment horizontal="left" vertical="center"/>
    </xf>
    <xf numFmtId="165" fontId="24" fillId="17" borderId="6" applyAlignment="1" pivotButton="0" quotePrefix="0" xfId="0">
      <alignment horizontal="center" vertical="center"/>
    </xf>
    <xf numFmtId="166" fontId="25" fillId="17" borderId="6" applyAlignment="1" pivotButton="0" quotePrefix="0" xfId="0">
      <alignment horizontal="center" vertical="center"/>
    </xf>
    <xf numFmtId="0" fontId="13" fillId="18" borderId="6" applyAlignment="1" pivotButton="0" quotePrefix="0" xfId="0">
      <alignment horizontal="center" vertical="center"/>
    </xf>
    <xf numFmtId="0" fontId="26" fillId="19" borderId="5" applyAlignment="1" pivotButton="0" quotePrefix="0" xfId="0">
      <alignment horizontal="center" vertical="center"/>
    </xf>
    <xf numFmtId="0" fontId="27" fillId="19" borderId="5" applyAlignment="1" pivotButton="0" quotePrefix="0" xfId="0">
      <alignment horizontal="left" vertical="center"/>
    </xf>
    <xf numFmtId="165" fontId="27" fillId="19" borderId="5" applyAlignment="1" pivotButton="0" quotePrefix="0" xfId="0">
      <alignment horizontal="center" vertical="center"/>
    </xf>
    <xf numFmtId="0" fontId="28" fillId="19" borderId="5" applyAlignment="1" pivotButton="0" quotePrefix="0" xfId="0">
      <alignment horizontal="center" vertical="center"/>
    </xf>
    <xf numFmtId="0" fontId="13" fillId="19" borderId="5" applyAlignment="1" pivotButton="0" quotePrefix="0" xfId="0">
      <alignment horizontal="center" vertical="center"/>
    </xf>
    <xf numFmtId="0" fontId="29" fillId="20" borderId="5" applyAlignment="1" pivotButton="0" quotePrefix="0" xfId="0">
      <alignment horizontal="left" vertical="center"/>
    </xf>
    <xf numFmtId="0" fontId="30" fillId="10" borderId="6" applyAlignment="1" pivotButton="0" quotePrefix="0" xfId="0">
      <alignment horizontal="center" vertical="center"/>
    </xf>
    <xf numFmtId="0" fontId="31" fillId="9" borderId="6" applyAlignment="1" pivotButton="0" quotePrefix="0" xfId="0">
      <alignment horizontal="center" vertical="center"/>
    </xf>
    <xf numFmtId="0" fontId="32" fillId="9" borderId="6" applyAlignment="1" pivotButton="0" quotePrefix="0" xfId="0">
      <alignment horizontal="left" vertical="center"/>
    </xf>
    <xf numFmtId="167" fontId="33" fillId="9" borderId="6" applyAlignment="1" pivotButton="0" quotePrefix="0" xfId="0">
      <alignment horizontal="center" vertical="center"/>
    </xf>
    <xf numFmtId="168" fontId="32" fillId="9" borderId="6" applyAlignment="1" pivotButton="0" quotePrefix="0" xfId="0">
      <alignment horizontal="center" vertical="center"/>
    </xf>
    <xf numFmtId="166" fontId="31" fillId="9" borderId="6" applyAlignment="1" pivotButton="0" quotePrefix="0" xfId="0">
      <alignment horizontal="center" vertical="center"/>
    </xf>
    <xf numFmtId="0" fontId="31" fillId="21" borderId="6" applyAlignment="1" pivotButton="0" quotePrefix="0" xfId="0">
      <alignment horizontal="center" vertical="center"/>
    </xf>
    <xf numFmtId="0" fontId="32" fillId="21" borderId="6" applyAlignment="1" pivotButton="0" quotePrefix="0" xfId="0">
      <alignment horizontal="left" vertical="center"/>
    </xf>
    <xf numFmtId="167" fontId="33" fillId="21" borderId="6" applyAlignment="1" pivotButton="0" quotePrefix="0" xfId="0">
      <alignment horizontal="center" vertical="center"/>
    </xf>
    <xf numFmtId="168" fontId="32" fillId="21" borderId="6" applyAlignment="1" pivotButton="0" quotePrefix="0" xfId="0">
      <alignment horizontal="center" vertical="center"/>
    </xf>
    <xf numFmtId="166" fontId="31" fillId="21" borderId="6" applyAlignment="1" pivotButton="0" quotePrefix="0" xfId="0">
      <alignment horizontal="center" vertical="center"/>
    </xf>
    <xf numFmtId="0" fontId="26" fillId="10" borderId="6" applyAlignment="1" pivotButton="0" quotePrefix="0" xfId="0">
      <alignment horizontal="center" vertical="center"/>
    </xf>
    <xf numFmtId="0" fontId="10" fillId="10" borderId="6" applyAlignment="1" pivotButton="0" quotePrefix="0" xfId="0">
      <alignment horizontal="left" vertical="center"/>
    </xf>
    <xf numFmtId="165" fontId="11" fillId="10" borderId="6" applyAlignment="1" pivotButton="0" quotePrefix="0" xfId="0">
      <alignment horizontal="center" vertical="center"/>
    </xf>
    <xf numFmtId="0" fontId="34" fillId="10" borderId="6" applyAlignment="1" pivotButton="0" quotePrefix="0" xfId="0">
      <alignment horizontal="center" vertical="center"/>
    </xf>
    <xf numFmtId="0" fontId="29" fillId="22" borderId="5" applyAlignment="1" pivotButton="0" quotePrefix="0" xfId="0">
      <alignment horizontal="left" vertical="center"/>
    </xf>
    <xf numFmtId="0" fontId="35" fillId="12" borderId="6" applyAlignment="1" pivotButton="0" quotePrefix="0" xfId="0">
      <alignment horizontal="center" vertical="center"/>
    </xf>
    <xf numFmtId="0" fontId="36" fillId="11" borderId="6" applyAlignment="1" pivotButton="0" quotePrefix="0" xfId="0">
      <alignment horizontal="center" vertical="center"/>
    </xf>
    <xf numFmtId="0" fontId="32" fillId="11" borderId="6" applyAlignment="1" pivotButton="0" quotePrefix="0" xfId="0">
      <alignment horizontal="left" vertical="center"/>
    </xf>
    <xf numFmtId="167" fontId="33" fillId="11" borderId="6" applyAlignment="1" pivotButton="0" quotePrefix="0" xfId="0">
      <alignment horizontal="center" vertical="center"/>
    </xf>
    <xf numFmtId="168" fontId="32" fillId="11" borderId="6" applyAlignment="1" pivotButton="0" quotePrefix="0" xfId="0">
      <alignment horizontal="center" vertical="center"/>
    </xf>
    <xf numFmtId="166" fontId="36" fillId="11" borderId="6" applyAlignment="1" pivotButton="0" quotePrefix="0" xfId="0">
      <alignment horizontal="center" vertical="center"/>
    </xf>
    <xf numFmtId="0" fontId="36" fillId="21" borderId="6" applyAlignment="1" pivotButton="0" quotePrefix="0" xfId="0">
      <alignment horizontal="center" vertical="center"/>
    </xf>
    <xf numFmtId="166" fontId="36" fillId="21" borderId="6" applyAlignment="1" pivotButton="0" quotePrefix="0" xfId="0">
      <alignment horizontal="center" vertical="center"/>
    </xf>
    <xf numFmtId="0" fontId="26" fillId="12" borderId="6" applyAlignment="1" pivotButton="0" quotePrefix="0" xfId="0">
      <alignment horizontal="center" vertical="center"/>
    </xf>
    <xf numFmtId="0" fontId="14" fillId="12" borderId="6" applyAlignment="1" pivotButton="0" quotePrefix="0" xfId="0">
      <alignment horizontal="left" vertical="center"/>
    </xf>
    <xf numFmtId="165" fontId="15" fillId="12" borderId="6" applyAlignment="1" pivotButton="0" quotePrefix="0" xfId="0">
      <alignment horizontal="center" vertical="center"/>
    </xf>
    <xf numFmtId="0" fontId="37" fillId="12" borderId="6" applyAlignment="1" pivotButton="0" quotePrefix="0" xfId="0">
      <alignment horizontal="center" vertical="center"/>
    </xf>
    <xf numFmtId="0" fontId="29" fillId="23" borderId="5" applyAlignment="1" pivotButton="0" quotePrefix="0" xfId="0">
      <alignment horizontal="left" vertical="center"/>
    </xf>
    <xf numFmtId="0" fontId="38" fillId="14" borderId="6" applyAlignment="1" pivotButton="0" quotePrefix="0" xfId="0">
      <alignment horizontal="center" vertical="center"/>
    </xf>
    <xf numFmtId="0" fontId="39" fillId="13" borderId="6" applyAlignment="1" pivotButton="0" quotePrefix="0" xfId="0">
      <alignment horizontal="center" vertical="center"/>
    </xf>
    <xf numFmtId="0" fontId="32" fillId="13" borderId="6" applyAlignment="1" pivotButton="0" quotePrefix="0" xfId="0">
      <alignment horizontal="left" vertical="center"/>
    </xf>
    <xf numFmtId="167" fontId="33" fillId="13" borderId="6" applyAlignment="1" pivotButton="0" quotePrefix="0" xfId="0">
      <alignment horizontal="center" vertical="center"/>
    </xf>
    <xf numFmtId="168" fontId="32" fillId="13" borderId="6" applyAlignment="1" pivotButton="0" quotePrefix="0" xfId="0">
      <alignment horizontal="center" vertical="center"/>
    </xf>
    <xf numFmtId="166" fontId="39" fillId="13" borderId="6" applyAlignment="1" pivotButton="0" quotePrefix="0" xfId="0">
      <alignment horizontal="center" vertical="center"/>
    </xf>
    <xf numFmtId="0" fontId="39" fillId="21" borderId="6" applyAlignment="1" pivotButton="0" quotePrefix="0" xfId="0">
      <alignment horizontal="center" vertical="center"/>
    </xf>
    <xf numFmtId="166" fontId="39" fillId="21" borderId="6" applyAlignment="1" pivotButton="0" quotePrefix="0" xfId="0">
      <alignment horizontal="center" vertical="center"/>
    </xf>
    <xf numFmtId="0" fontId="26" fillId="14" borderId="6" applyAlignment="1" pivotButton="0" quotePrefix="0" xfId="0">
      <alignment horizontal="center" vertical="center"/>
    </xf>
    <xf numFmtId="0" fontId="17" fillId="14" borderId="6" applyAlignment="1" pivotButton="0" quotePrefix="0" xfId="0">
      <alignment horizontal="left" vertical="center"/>
    </xf>
    <xf numFmtId="165" fontId="18" fillId="14" borderId="6" applyAlignment="1" pivotButton="0" quotePrefix="0" xfId="0">
      <alignment horizontal="center" vertical="center"/>
    </xf>
    <xf numFmtId="0" fontId="40" fillId="14" borderId="6" applyAlignment="1" pivotButton="0" quotePrefix="0" xfId="0">
      <alignment horizontal="center" vertical="center"/>
    </xf>
    <xf numFmtId="0" fontId="29" fillId="24" borderId="5" applyAlignment="1" pivotButton="0" quotePrefix="0" xfId="0">
      <alignment horizontal="left" vertical="center"/>
    </xf>
    <xf numFmtId="0" fontId="41" fillId="16" borderId="6" applyAlignment="1" pivotButton="0" quotePrefix="0" xfId="0">
      <alignment horizontal="center" vertical="center"/>
    </xf>
    <xf numFmtId="0" fontId="42" fillId="15" borderId="6" applyAlignment="1" pivotButton="0" quotePrefix="0" xfId="0">
      <alignment horizontal="center" vertical="center"/>
    </xf>
    <xf numFmtId="0" fontId="32" fillId="15" borderId="6" applyAlignment="1" pivotButton="0" quotePrefix="0" xfId="0">
      <alignment horizontal="left" vertical="center"/>
    </xf>
    <xf numFmtId="167" fontId="33" fillId="15" borderId="6" applyAlignment="1" pivotButton="0" quotePrefix="0" xfId="0">
      <alignment horizontal="center" vertical="center"/>
    </xf>
    <xf numFmtId="168" fontId="32" fillId="15" borderId="6" applyAlignment="1" pivotButton="0" quotePrefix="0" xfId="0">
      <alignment horizontal="center" vertical="center"/>
    </xf>
    <xf numFmtId="166" fontId="42" fillId="15" borderId="6" applyAlignment="1" pivotButton="0" quotePrefix="0" xfId="0">
      <alignment horizontal="center" vertical="center"/>
    </xf>
    <xf numFmtId="0" fontId="42" fillId="21" borderId="6" applyAlignment="1" pivotButton="0" quotePrefix="0" xfId="0">
      <alignment horizontal="center" vertical="center"/>
    </xf>
    <xf numFmtId="166" fontId="42" fillId="21" borderId="6" applyAlignment="1" pivotButton="0" quotePrefix="0" xfId="0">
      <alignment horizontal="center" vertical="center"/>
    </xf>
    <xf numFmtId="0" fontId="26" fillId="16" borderId="6" applyAlignment="1" pivotButton="0" quotePrefix="0" xfId="0">
      <alignment horizontal="center" vertical="center"/>
    </xf>
    <xf numFmtId="0" fontId="20" fillId="16" borderId="6" applyAlignment="1" pivotButton="0" quotePrefix="0" xfId="0">
      <alignment horizontal="left" vertical="center"/>
    </xf>
    <xf numFmtId="165" fontId="21" fillId="16" borderId="6" applyAlignment="1" pivotButton="0" quotePrefix="0" xfId="0">
      <alignment horizontal="center" vertical="center"/>
    </xf>
    <xf numFmtId="0" fontId="43" fillId="16" borderId="6" applyAlignment="1" pivotButton="0" quotePrefix="0" xfId="0">
      <alignment horizontal="center" vertical="center"/>
    </xf>
    <xf numFmtId="0" fontId="29" fillId="25" borderId="5" applyAlignment="1" pivotButton="0" quotePrefix="0" xfId="0">
      <alignment horizontal="left" vertical="center"/>
    </xf>
    <xf numFmtId="0" fontId="44" fillId="18" borderId="6" applyAlignment="1" pivotButton="0" quotePrefix="0" xfId="0">
      <alignment horizontal="center" vertical="center"/>
    </xf>
    <xf numFmtId="0" fontId="45" fillId="17" borderId="6" applyAlignment="1" pivotButton="0" quotePrefix="0" xfId="0">
      <alignment horizontal="center" vertical="center"/>
    </xf>
    <xf numFmtId="0" fontId="32" fillId="17" borderId="6" applyAlignment="1" pivotButton="0" quotePrefix="0" xfId="0">
      <alignment horizontal="left" vertical="center"/>
    </xf>
    <xf numFmtId="167" fontId="33" fillId="17" borderId="6" applyAlignment="1" pivotButton="0" quotePrefix="0" xfId="0">
      <alignment horizontal="center" vertical="center"/>
    </xf>
    <xf numFmtId="168" fontId="32" fillId="17" borderId="6" applyAlignment="1" pivotButton="0" quotePrefix="0" xfId="0">
      <alignment horizontal="center" vertical="center"/>
    </xf>
    <xf numFmtId="166" fontId="45" fillId="17" borderId="6" applyAlignment="1" pivotButton="0" quotePrefix="0" xfId="0">
      <alignment horizontal="center" vertical="center"/>
    </xf>
    <xf numFmtId="0" fontId="45" fillId="21" borderId="6" applyAlignment="1" pivotButton="0" quotePrefix="0" xfId="0">
      <alignment horizontal="center" vertical="center"/>
    </xf>
    <xf numFmtId="166" fontId="45" fillId="21" borderId="6" applyAlignment="1" pivotButton="0" quotePrefix="0" xfId="0">
      <alignment horizontal="center" vertical="center"/>
    </xf>
    <xf numFmtId="0" fontId="26" fillId="18" borderId="6" applyAlignment="1" pivotButton="0" quotePrefix="0" xfId="0">
      <alignment horizontal="center" vertical="center"/>
    </xf>
    <xf numFmtId="0" fontId="23" fillId="18" borderId="6" applyAlignment="1" pivotButton="0" quotePrefix="0" xfId="0">
      <alignment horizontal="left" vertical="center"/>
    </xf>
    <xf numFmtId="165" fontId="24" fillId="18" borderId="6" applyAlignment="1" pivotButton="0" quotePrefix="0" xfId="0">
      <alignment horizontal="center" vertical="center"/>
    </xf>
    <xf numFmtId="0" fontId="46" fillId="18" borderId="6" applyAlignment="1" pivotButton="0" quotePrefix="0" xfId="0">
      <alignment horizontal="center" vertical="center"/>
    </xf>
    <xf numFmtId="0" fontId="8" fillId="26" borderId="5" applyAlignment="1" pivotButton="0" quotePrefix="0" xfId="0">
      <alignment horizontal="left" vertical="center"/>
    </xf>
    <xf numFmtId="0" fontId="47" fillId="11" borderId="6" applyAlignment="1" pivotButton="0" quotePrefix="0" xfId="0">
      <alignment horizontal="center" vertical="center"/>
    </xf>
    <xf numFmtId="0" fontId="48" fillId="21" borderId="6" applyAlignment="1" pivotButton="0" quotePrefix="0" xfId="0">
      <alignment horizontal="left" vertical="center"/>
    </xf>
    <xf numFmtId="0" fontId="49" fillId="19" borderId="6" applyAlignment="1" pivotButton="0" quotePrefix="0" xfId="0">
      <alignment horizontal="center" vertical="center"/>
    </xf>
    <xf numFmtId="0" fontId="50" fillId="13" borderId="6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6"/>
  <sheetViews>
    <sheetView workbookViewId="0">
      <selection activeCell="A1" sqref="A1"/>
    </sheetView>
  </sheetViews>
  <sheetFormatPr baseColWidth="8" defaultColWidth="14.43" defaultRowHeight="15" customHeight="1"/>
  <cols>
    <col width="14.86" customWidth="1" style="13" min="1" max="1"/>
    <col width="11.29" customWidth="1" style="13" min="2" max="2"/>
    <col width="10.43" customWidth="1" style="13" min="3" max="4"/>
    <col width="10.29" customWidth="1" style="13" min="5" max="5"/>
    <col width="10.57" customWidth="1" style="13" min="6" max="6"/>
    <col width="10.86" customWidth="1" style="13" min="7" max="7"/>
    <col width="11.57" customWidth="1" style="13" min="8" max="8"/>
    <col width="10.57" customWidth="1" style="13" min="9" max="11"/>
    <col width="11" customWidth="1" style="13" min="12" max="12"/>
    <col width="10.86" customWidth="1" style="13" min="13" max="13"/>
    <col width="10.43" customWidth="1" style="13" min="14" max="16"/>
    <col width="10.14" customWidth="1" style="13" min="17" max="17"/>
    <col width="10.43" customWidth="1" style="13" min="18" max="19"/>
    <col width="10.14" customWidth="1" style="13" min="20" max="20"/>
    <col width="10.86" customWidth="1" style="13" min="21" max="21"/>
    <col width="10.43" customWidth="1" style="13" min="22" max="22"/>
    <col width="11.29" customWidth="1" style="13" min="23" max="23"/>
    <col width="10.43" customWidth="1" style="13" min="24" max="24"/>
    <col width="10.57" customWidth="1" style="13" min="25" max="25"/>
    <col width="10.86" customWidth="1" style="13" min="26" max="26"/>
    <col width="10.14" customWidth="1" style="13" min="27" max="27"/>
    <col width="10.86" customWidth="1" style="13" min="28" max="28"/>
    <col width="11" customWidth="1" style="13" min="29" max="30"/>
    <col width="10.29" customWidth="1" style="13" min="31" max="31"/>
    <col width="10.57" customWidth="1" style="13" min="32" max="33"/>
    <col width="8.710000000000001" customWidth="1" style="13" min="34" max="35"/>
  </cols>
  <sheetData>
    <row r="1">
      <c r="A1" s="14" t="inlineStr">
        <is>
          <t>VEGETABLES</t>
        </is>
      </c>
    </row>
    <row r="2">
      <c r="A2" s="4" t="inlineStr">
        <is>
          <t>ITEM</t>
        </is>
      </c>
      <c r="B2" s="4" t="inlineStr">
        <is>
          <t>Rate per KG</t>
        </is>
      </c>
      <c r="C2" s="5" t="n">
        <v>46174</v>
      </c>
      <c r="D2" s="5" t="n">
        <v>46175</v>
      </c>
      <c r="E2" s="5" t="n">
        <v>46176</v>
      </c>
      <c r="F2" s="5" t="n">
        <v>46177</v>
      </c>
      <c r="G2" s="5" t="n">
        <v>46178</v>
      </c>
      <c r="H2" s="5" t="n">
        <v>46179</v>
      </c>
      <c r="I2" s="5" t="n">
        <v>46180</v>
      </c>
      <c r="J2" s="5" t="n">
        <v>46181</v>
      </c>
      <c r="K2" s="5" t="n">
        <v>46182</v>
      </c>
      <c r="L2" s="5" t="n">
        <v>46183</v>
      </c>
      <c r="M2" s="5" t="n">
        <v>46184</v>
      </c>
      <c r="N2" s="5" t="n">
        <v>46185</v>
      </c>
      <c r="O2" s="5" t="n">
        <v>46186</v>
      </c>
      <c r="P2" s="5" t="n">
        <v>46187</v>
      </c>
      <c r="Q2" s="5" t="n">
        <v>46188</v>
      </c>
      <c r="R2" s="5" t="n">
        <v>46189</v>
      </c>
      <c r="S2" s="5" t="n">
        <v>46190</v>
      </c>
      <c r="T2" s="5" t="n">
        <v>46191</v>
      </c>
      <c r="U2" s="5" t="n">
        <v>46192</v>
      </c>
      <c r="V2" s="5" t="n">
        <v>46193</v>
      </c>
      <c r="W2" s="5" t="n">
        <v>46194</v>
      </c>
      <c r="X2" s="5" t="n">
        <v>46195</v>
      </c>
      <c r="Y2" s="5" t="n">
        <v>46196</v>
      </c>
      <c r="Z2" s="5" t="n">
        <v>46197</v>
      </c>
      <c r="AA2" s="5" t="n">
        <v>46198</v>
      </c>
      <c r="AB2" s="5" t="n">
        <v>46199</v>
      </c>
      <c r="AC2" s="5" t="n">
        <v>46200</v>
      </c>
      <c r="AD2" s="5" t="n">
        <v>46201</v>
      </c>
      <c r="AE2" s="5" t="n">
        <v>46202</v>
      </c>
      <c r="AF2" s="5" t="n">
        <v>46203</v>
      </c>
      <c r="AG2" s="5" t="n"/>
      <c r="AH2" s="6" t="inlineStr">
        <is>
          <t>TOTAL KG</t>
        </is>
      </c>
      <c r="AI2" s="7" t="inlineStr">
        <is>
          <t>TOTAL</t>
        </is>
      </c>
    </row>
    <row r="3">
      <c r="A3" s="10" t="inlineStr">
        <is>
          <t>ONION</t>
        </is>
      </c>
      <c r="B3" s="10" t="n">
        <v>30</v>
      </c>
      <c r="C3" s="10" t="n">
        <v>50</v>
      </c>
      <c r="F3" s="10" t="n">
        <v>50</v>
      </c>
      <c r="H3" s="10" t="n">
        <v>99</v>
      </c>
      <c r="AH3" s="6">
        <f>SUM(C3:AF3)</f>
        <v/>
      </c>
      <c r="AI3" s="9">
        <f>SUM(C3:AF3)*B3</f>
        <v/>
      </c>
    </row>
    <row r="4">
      <c r="A4" s="10" t="inlineStr">
        <is>
          <t>TOMATO</t>
        </is>
      </c>
      <c r="B4" s="10" t="n">
        <v>20</v>
      </c>
      <c r="C4" s="10" t="n">
        <v>20</v>
      </c>
      <c r="E4" s="10" t="n">
        <v>15</v>
      </c>
      <c r="F4" s="10" t="n">
        <v>15</v>
      </c>
      <c r="G4" s="10" t="n">
        <v>25</v>
      </c>
      <c r="H4" s="10" t="n">
        <v>15</v>
      </c>
      <c r="I4" s="10" t="n">
        <v>20</v>
      </c>
      <c r="J4" s="10" t="n">
        <v>25</v>
      </c>
      <c r="L4" s="10" t="n">
        <v>25</v>
      </c>
      <c r="AH4" s="6">
        <f>SUM(C4:AF4)</f>
        <v/>
      </c>
      <c r="AI4" s="9">
        <f>SUM(C4:AF4)*B4</f>
        <v/>
      </c>
    </row>
    <row r="5">
      <c r="A5" s="10" t="inlineStr">
        <is>
          <t>AALO</t>
        </is>
      </c>
      <c r="B5" s="10" t="n">
        <v>15</v>
      </c>
      <c r="C5" s="10" t="n">
        <v>5</v>
      </c>
      <c r="E5" s="10" t="n">
        <v>5</v>
      </c>
      <c r="G5" s="10" t="n">
        <v>5</v>
      </c>
      <c r="H5" s="10" t="n">
        <v>5</v>
      </c>
      <c r="L5" s="10" t="n">
        <v>5</v>
      </c>
      <c r="AH5" s="6">
        <f>SUM(C5:AF5)</f>
        <v/>
      </c>
      <c r="AI5" s="9">
        <f>SUM(C5:AF5)*B5</f>
        <v/>
      </c>
    </row>
    <row r="6">
      <c r="A6" s="10" t="inlineStr">
        <is>
          <t>SHIMLA</t>
        </is>
      </c>
      <c r="B6" s="10" t="n">
        <v>49</v>
      </c>
      <c r="C6" s="10" t="n">
        <v>3</v>
      </c>
      <c r="E6" s="10" t="n">
        <v>3</v>
      </c>
      <c r="F6" s="10" t="n">
        <v>3</v>
      </c>
      <c r="G6" s="10" t="n">
        <v>2</v>
      </c>
      <c r="H6" s="10" t="n">
        <v>2.5</v>
      </c>
      <c r="I6" s="10" t="n">
        <v>7</v>
      </c>
      <c r="J6" s="10" t="n">
        <v>5</v>
      </c>
      <c r="L6" s="10" t="n">
        <v>2</v>
      </c>
      <c r="AH6" s="6">
        <f>SUM(C6:AF6)</f>
        <v/>
      </c>
      <c r="AI6" s="9">
        <f>SUM(C6:AF6)*B6</f>
        <v/>
      </c>
    </row>
    <row r="7">
      <c r="A7" s="10" t="inlineStr">
        <is>
          <t>CABBAGE</t>
        </is>
      </c>
      <c r="B7" s="10" t="n">
        <v>20</v>
      </c>
      <c r="C7" s="10" t="n">
        <v>2</v>
      </c>
      <c r="G7" s="10" t="n">
        <v>5</v>
      </c>
      <c r="H7" s="10" t="n">
        <v>1</v>
      </c>
      <c r="I7" s="10" t="n">
        <v>1</v>
      </c>
      <c r="J7" s="10" t="n">
        <v>2</v>
      </c>
      <c r="AH7" s="6">
        <f>SUM(C7:AF7)</f>
        <v/>
      </c>
      <c r="AI7" s="9">
        <f>SUM(C7:AF7)*B7</f>
        <v/>
      </c>
    </row>
    <row r="8">
      <c r="A8" s="10" t="inlineStr">
        <is>
          <t xml:space="preserve">BEANS </t>
        </is>
      </c>
      <c r="B8" s="10" t="n">
        <v>120</v>
      </c>
      <c r="F8" s="10" t="n">
        <v>1</v>
      </c>
      <c r="J8" s="10" t="n">
        <v>0.5</v>
      </c>
      <c r="AH8" s="6">
        <f>SUM(C8:AF8)</f>
        <v/>
      </c>
      <c r="AI8" s="9">
        <f>SUM(C8:AF8)*B8</f>
        <v/>
      </c>
    </row>
    <row r="9">
      <c r="A9" s="10" t="inlineStr">
        <is>
          <t>GAJAR</t>
        </is>
      </c>
      <c r="B9" s="10" t="n">
        <v>40</v>
      </c>
      <c r="C9" s="10" t="n">
        <v>0.5</v>
      </c>
      <c r="E9" s="10" t="n">
        <v>0.5</v>
      </c>
      <c r="F9" s="10" t="n">
        <v>0.5</v>
      </c>
      <c r="G9" s="10" t="n">
        <v>0.5</v>
      </c>
      <c r="H9" s="10" t="n">
        <v>0.5</v>
      </c>
      <c r="J9" s="10" t="n">
        <v>0.5</v>
      </c>
      <c r="L9" s="10" t="n">
        <v>0.5</v>
      </c>
      <c r="AH9" s="6">
        <f>SUM(C9:AF9)</f>
        <v/>
      </c>
      <c r="AI9" s="9">
        <f>SUM(C9:AF9)*B9</f>
        <v/>
      </c>
    </row>
    <row r="10">
      <c r="A10" s="10" t="inlineStr">
        <is>
          <t>GARLIC</t>
        </is>
      </c>
      <c r="B10" s="10" t="n">
        <v>120</v>
      </c>
      <c r="C10" s="10" t="n">
        <v>2</v>
      </c>
      <c r="E10" s="10" t="n">
        <v>2</v>
      </c>
      <c r="F10" s="10" t="n">
        <v>1</v>
      </c>
      <c r="G10" s="10" t="n">
        <v>2.5</v>
      </c>
      <c r="H10" s="10" t="n">
        <v>2</v>
      </c>
      <c r="I10" s="10" t="n">
        <v>2.5</v>
      </c>
      <c r="J10" s="10" t="n">
        <v>4</v>
      </c>
      <c r="L10" s="10" t="n">
        <v>2</v>
      </c>
      <c r="AH10" s="6">
        <f>SUM(C10:AF10)</f>
        <v/>
      </c>
      <c r="AI10" s="9">
        <f>SUM(C10:AF10)*B10</f>
        <v/>
      </c>
    </row>
    <row r="11">
      <c r="A11" s="10" t="inlineStr">
        <is>
          <t>GINGER</t>
        </is>
      </c>
      <c r="B11" s="10" t="n">
        <v>50</v>
      </c>
      <c r="C11" s="10" t="n">
        <v>1</v>
      </c>
      <c r="E11" s="10" t="n">
        <v>1</v>
      </c>
      <c r="F11" s="10" t="n">
        <v>1</v>
      </c>
      <c r="G11" s="10" t="n">
        <v>1</v>
      </c>
      <c r="H11" s="10" t="n">
        <v>1</v>
      </c>
      <c r="I11" s="10" t="n">
        <v>1</v>
      </c>
      <c r="J11" s="10" t="n">
        <v>1</v>
      </c>
      <c r="L11" s="10" t="n">
        <v>1</v>
      </c>
      <c r="AH11" s="6">
        <f>SUM(C11:AF11)</f>
        <v/>
      </c>
      <c r="AI11" s="9">
        <f>SUM(C11:AF11)*B11</f>
        <v/>
      </c>
    </row>
    <row r="12">
      <c r="A12" s="10" t="inlineStr">
        <is>
          <t>DHANIYA</t>
        </is>
      </c>
      <c r="B12" s="10" t="n">
        <v>50</v>
      </c>
      <c r="C12" s="10" t="n">
        <v>1.5</v>
      </c>
      <c r="E12" s="10" t="n">
        <v>2</v>
      </c>
      <c r="F12" s="10" t="n">
        <v>0.5</v>
      </c>
      <c r="G12" s="10" t="n">
        <v>0.5</v>
      </c>
      <c r="I12" s="10" t="n">
        <v>0.5</v>
      </c>
      <c r="J12" s="10" t="n">
        <v>1</v>
      </c>
      <c r="L12" s="10" t="n">
        <v>0.5</v>
      </c>
      <c r="AH12" s="6">
        <f>SUM(C12:AF12)</f>
        <v/>
      </c>
      <c r="AI12" s="9">
        <f>SUM(C12:AF12)*B12</f>
        <v/>
      </c>
    </row>
    <row r="13">
      <c r="A13" s="10" t="inlineStr">
        <is>
          <t>HARI MIRCH</t>
        </is>
      </c>
      <c r="B13" s="10" t="n">
        <v>40</v>
      </c>
      <c r="C13" s="10" t="n">
        <v>1</v>
      </c>
      <c r="E13" s="10" t="n">
        <v>1</v>
      </c>
      <c r="F13" s="10" t="n">
        <v>1.5</v>
      </c>
      <c r="G13" s="10" t="n">
        <v>1.5</v>
      </c>
      <c r="H13" s="10" t="n">
        <v>1</v>
      </c>
      <c r="I13" s="10" t="n">
        <v>1</v>
      </c>
      <c r="J13" s="10" t="n">
        <v>3</v>
      </c>
      <c r="AH13" s="6">
        <f>SUM(C13:AF13)</f>
        <v/>
      </c>
      <c r="AI13" s="9">
        <f>SUM(C13:AF13)*B13</f>
        <v/>
      </c>
    </row>
    <row r="14">
      <c r="A14" s="10" t="inlineStr">
        <is>
          <t>LEMON</t>
        </is>
      </c>
      <c r="B14" s="10" t="n">
        <v>90</v>
      </c>
      <c r="C14" s="10" t="n">
        <v>0.5</v>
      </c>
      <c r="E14" s="10" t="n">
        <v>0.5</v>
      </c>
      <c r="F14" s="10" t="n">
        <v>0.5</v>
      </c>
      <c r="H14" s="10" t="n">
        <v>0.5</v>
      </c>
      <c r="I14" s="10" t="n">
        <v>1</v>
      </c>
      <c r="J14" s="10" t="n">
        <v>0.5</v>
      </c>
      <c r="AH14" s="6">
        <f>SUM(C14:AF14)</f>
        <v/>
      </c>
      <c r="AI14" s="9">
        <f>SUM(C14:AF14)*B14</f>
        <v/>
      </c>
    </row>
    <row r="15">
      <c r="A15" s="10" t="inlineStr">
        <is>
          <t>PUDINA</t>
        </is>
      </c>
      <c r="B15" s="10" t="n">
        <v>80</v>
      </c>
      <c r="C15" s="10" t="n">
        <v>0.5</v>
      </c>
      <c r="F15" s="10" t="n">
        <v>0.25</v>
      </c>
      <c r="AH15" s="6">
        <f>SUM(C15:AF15)</f>
        <v/>
      </c>
      <c r="AI15" s="9">
        <f>SUM(C15:AF15)*B15</f>
        <v/>
      </c>
    </row>
    <row r="16">
      <c r="A16" s="10" t="inlineStr">
        <is>
          <t>MUSHROOM</t>
        </is>
      </c>
      <c r="B16" s="10" t="n">
        <v>80</v>
      </c>
      <c r="C16" s="10" t="n">
        <v>2</v>
      </c>
      <c r="E16" s="10" t="n">
        <v>2</v>
      </c>
      <c r="F16" s="10" t="n">
        <v>2</v>
      </c>
      <c r="H16" s="10" t="n">
        <v>2</v>
      </c>
      <c r="I16" s="10" t="n">
        <v>2</v>
      </c>
      <c r="J16" s="10" t="n">
        <v>2</v>
      </c>
      <c r="AH16" s="6">
        <f>SUM(C16:AF16)</f>
        <v/>
      </c>
      <c r="AI16" s="9">
        <f>SUM(C16:AF16)*B16</f>
        <v/>
      </c>
    </row>
    <row r="17">
      <c r="A17" s="10" t="inlineStr">
        <is>
          <t>KHEERA</t>
        </is>
      </c>
      <c r="B17" s="10" t="n">
        <v>30</v>
      </c>
      <c r="I17" s="10" t="n">
        <v>1</v>
      </c>
      <c r="AH17" s="6">
        <f>SUM(C17:AF17)</f>
        <v/>
      </c>
      <c r="AI17" s="9">
        <f>SUM(C17:AF17)*B17</f>
        <v/>
      </c>
    </row>
    <row r="18">
      <c r="A18" s="10" t="inlineStr">
        <is>
          <t>HARA PYAZ</t>
        </is>
      </c>
      <c r="L18" s="10" t="n">
        <v>0.5</v>
      </c>
      <c r="AI18" s="9" t="n"/>
    </row>
    <row r="19">
      <c r="AI19" s="9" t="n"/>
    </row>
    <row r="20">
      <c r="A20" s="4" t="inlineStr">
        <is>
          <t>TOTAL</t>
        </is>
      </c>
      <c r="AI20" s="9">
        <f>SUM(AI3:AI18)</f>
        <v/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>
      <c r="A25" s="14" t="inlineStr">
        <is>
          <t>CHICKEN</t>
        </is>
      </c>
    </row>
    <row r="26" ht="15.75" customHeight="1" s="13">
      <c r="A26" s="4" t="inlineStr">
        <is>
          <t>ITEM</t>
        </is>
      </c>
      <c r="B26" s="4" t="inlineStr">
        <is>
          <t>Rate per KG</t>
        </is>
      </c>
      <c r="C26" s="5" t="n">
        <v>46174</v>
      </c>
      <c r="D26" s="5" t="n">
        <v>46175</v>
      </c>
      <c r="E26" s="5" t="n">
        <v>46176</v>
      </c>
      <c r="F26" s="5" t="n">
        <v>46177</v>
      </c>
      <c r="G26" s="5" t="n">
        <v>46178</v>
      </c>
      <c r="H26" s="5" t="n">
        <v>46179</v>
      </c>
      <c r="I26" s="5" t="n">
        <v>46180</v>
      </c>
      <c r="J26" s="5" t="n">
        <v>46181</v>
      </c>
      <c r="K26" s="5" t="n">
        <v>46182</v>
      </c>
      <c r="L26" s="5" t="n">
        <v>46183</v>
      </c>
      <c r="M26" s="5" t="n">
        <v>46184</v>
      </c>
      <c r="N26" s="5" t="n">
        <v>46185</v>
      </c>
      <c r="O26" s="5" t="n">
        <v>46186</v>
      </c>
      <c r="P26" s="5" t="n">
        <v>46187</v>
      </c>
      <c r="Q26" s="5" t="n">
        <v>46188</v>
      </c>
      <c r="R26" s="5" t="n">
        <v>46189</v>
      </c>
      <c r="S26" s="5" t="n">
        <v>46190</v>
      </c>
      <c r="T26" s="5" t="n">
        <v>46191</v>
      </c>
      <c r="U26" s="5" t="n">
        <v>46192</v>
      </c>
      <c r="V26" s="5" t="n">
        <v>46193</v>
      </c>
      <c r="W26" s="5" t="n">
        <v>46194</v>
      </c>
      <c r="X26" s="5" t="n">
        <v>46195</v>
      </c>
      <c r="Y26" s="5" t="n">
        <v>46196</v>
      </c>
      <c r="Z26" s="5" t="n">
        <v>46197</v>
      </c>
      <c r="AA26" s="5" t="n">
        <v>46198</v>
      </c>
      <c r="AB26" s="5" t="n">
        <v>46199</v>
      </c>
      <c r="AC26" s="5" t="n">
        <v>46200</v>
      </c>
      <c r="AD26" s="5" t="n">
        <v>46201</v>
      </c>
      <c r="AE26" s="5" t="n">
        <v>46202</v>
      </c>
      <c r="AF26" s="5" t="n">
        <v>46203</v>
      </c>
      <c r="AG26" s="5" t="n"/>
      <c r="AI26" s="4" t="inlineStr">
        <is>
          <t>TOTAL</t>
        </is>
      </c>
    </row>
    <row r="27" ht="15.75" customHeight="1" s="13"/>
    <row r="28" ht="15.75" customHeight="1" s="13">
      <c r="A28" s="10" t="inlineStr">
        <is>
          <t>TANDORI</t>
        </is>
      </c>
      <c r="B28" s="10" t="n">
        <v>160</v>
      </c>
      <c r="C28" s="10" t="n">
        <v>10</v>
      </c>
      <c r="E28" s="10" t="n">
        <v>10</v>
      </c>
      <c r="F28" s="10" t="n">
        <v>10</v>
      </c>
      <c r="G28" s="10" t="n">
        <v>10</v>
      </c>
      <c r="H28" s="10" t="n">
        <v>15</v>
      </c>
      <c r="I28" s="10" t="n">
        <v>10</v>
      </c>
      <c r="J28" s="10" t="n">
        <v>10</v>
      </c>
      <c r="L28" s="10" t="n">
        <v>10</v>
      </c>
      <c r="AH28" s="6">
        <f>SUM(C28:AF28)</f>
        <v/>
      </c>
      <c r="AI28" s="10">
        <f>SUM(C28:AF28)*B28</f>
        <v/>
      </c>
    </row>
    <row r="29" ht="15.75" customHeight="1" s="13">
      <c r="A29" s="10" t="inlineStr">
        <is>
          <t>THAI</t>
        </is>
      </c>
      <c r="B29" s="10" t="n">
        <v>260</v>
      </c>
      <c r="C29" s="10" t="n">
        <v>5</v>
      </c>
      <c r="E29" s="10" t="n">
        <v>3</v>
      </c>
      <c r="F29" s="10" t="n">
        <v>5</v>
      </c>
      <c r="G29" s="10" t="n">
        <v>2</v>
      </c>
      <c r="H29" s="10" t="n">
        <v>7</v>
      </c>
      <c r="I29" s="10" t="n">
        <v>2</v>
      </c>
      <c r="J29" s="10" t="n">
        <v>5</v>
      </c>
      <c r="L29" s="10" t="n">
        <v>5</v>
      </c>
      <c r="AH29" s="6">
        <f>SUM(C29:AF29)</f>
        <v/>
      </c>
      <c r="AI29" s="10">
        <f>SUM(C29:AF29)*B29</f>
        <v/>
      </c>
    </row>
    <row r="30" ht="15.75" customHeight="1" s="13">
      <c r="A30" s="10" t="inlineStr">
        <is>
          <t>TANGRI</t>
        </is>
      </c>
      <c r="B30" s="10" t="n">
        <v>220</v>
      </c>
      <c r="C30" s="10" t="n">
        <v>1</v>
      </c>
      <c r="F30" s="10" t="n">
        <v>1</v>
      </c>
      <c r="H30" s="10" t="n">
        <v>1</v>
      </c>
      <c r="J30" s="10" t="n">
        <v>1</v>
      </c>
      <c r="AH30" s="6">
        <f>SUM(C30:AF30)</f>
        <v/>
      </c>
      <c r="AI30" s="10">
        <f>SUM(C30:AF30)*B30</f>
        <v/>
      </c>
    </row>
    <row r="31" ht="15.75" customHeight="1" s="13">
      <c r="A31" s="10" t="inlineStr">
        <is>
          <t>CHEST</t>
        </is>
      </c>
      <c r="B31" s="10" t="n">
        <v>220</v>
      </c>
      <c r="AH31" s="6">
        <f>SUM(C31:AF31)</f>
        <v/>
      </c>
      <c r="AI31" s="10">
        <f>SUM(C31:AF31)*B31</f>
        <v/>
      </c>
    </row>
    <row r="32" ht="15.75" customHeight="1" s="13">
      <c r="AH32" s="6">
        <f>SUM(C32:AF32)</f>
        <v/>
      </c>
      <c r="AI32" s="10">
        <f>SUM(C32:AF32)*B32</f>
        <v/>
      </c>
    </row>
    <row r="33" ht="15.75" customHeight="1" s="13"/>
    <row r="34" ht="15.75" customHeight="1" s="13">
      <c r="A34" s="4" t="inlineStr">
        <is>
          <t>TOTAL</t>
        </is>
      </c>
      <c r="AI34" s="10">
        <f>SUM(AI28:AI32)</f>
        <v/>
      </c>
    </row>
    <row r="35" ht="15.75" customHeight="1" s="13"/>
    <row r="36" ht="15.75" customHeight="1" s="13"/>
    <row r="37" ht="15.75" customHeight="1" s="13"/>
    <row r="38" ht="15.75" customHeight="1" s="13"/>
    <row r="39" ht="15.75" customHeight="1" s="13">
      <c r="A39" s="14" t="inlineStr">
        <is>
          <t>CHICKEN</t>
        </is>
      </c>
    </row>
    <row r="40" ht="15.75" customHeight="1" s="13">
      <c r="A40" s="4" t="inlineStr">
        <is>
          <t>ITEM</t>
        </is>
      </c>
      <c r="B40" s="4" t="inlineStr">
        <is>
          <t>Rate per KG</t>
        </is>
      </c>
      <c r="C40" s="5" t="n">
        <v>46174</v>
      </c>
      <c r="D40" s="5" t="n">
        <v>46175</v>
      </c>
      <c r="E40" s="5" t="n">
        <v>46176</v>
      </c>
      <c r="F40" s="5" t="n">
        <v>46177</v>
      </c>
      <c r="G40" s="5" t="n">
        <v>46178</v>
      </c>
      <c r="H40" s="5" t="n">
        <v>46179</v>
      </c>
      <c r="I40" s="5" t="n">
        <v>46180</v>
      </c>
      <c r="J40" s="5" t="n">
        <v>46181</v>
      </c>
      <c r="K40" s="5" t="n">
        <v>46182</v>
      </c>
      <c r="L40" s="5" t="n">
        <v>46183</v>
      </c>
      <c r="M40" s="5" t="n">
        <v>46184</v>
      </c>
      <c r="N40" s="5" t="n">
        <v>46185</v>
      </c>
      <c r="O40" s="5" t="n">
        <v>46186</v>
      </c>
      <c r="P40" s="5" t="n">
        <v>46187</v>
      </c>
      <c r="Q40" s="5" t="n">
        <v>46188</v>
      </c>
      <c r="R40" s="5" t="n">
        <v>46189</v>
      </c>
      <c r="S40" s="5" t="n">
        <v>46190</v>
      </c>
      <c r="T40" s="5" t="n">
        <v>46191</v>
      </c>
      <c r="U40" s="5" t="n">
        <v>46192</v>
      </c>
      <c r="V40" s="5" t="n">
        <v>46193</v>
      </c>
      <c r="W40" s="5" t="n">
        <v>46194</v>
      </c>
      <c r="X40" s="5" t="n">
        <v>46195</v>
      </c>
      <c r="Y40" s="5" t="n">
        <v>46196</v>
      </c>
      <c r="Z40" s="5" t="n">
        <v>46197</v>
      </c>
      <c r="AA40" s="5" t="n">
        <v>46198</v>
      </c>
      <c r="AB40" s="5" t="n">
        <v>46199</v>
      </c>
      <c r="AC40" s="5" t="n">
        <v>46200</v>
      </c>
      <c r="AD40" s="5" t="n">
        <v>46201</v>
      </c>
      <c r="AE40" s="5" t="n">
        <v>46202</v>
      </c>
      <c r="AF40" s="5" t="n">
        <v>46203</v>
      </c>
      <c r="AG40" s="5" t="n"/>
      <c r="AI40" s="4" t="inlineStr">
        <is>
          <t>TOTAL</t>
        </is>
      </c>
    </row>
    <row r="41" ht="15.75" customHeight="1" s="13"/>
    <row r="42" ht="15.75" customHeight="1" s="13">
      <c r="A42" s="10" t="inlineStr">
        <is>
          <t>PANEER</t>
        </is>
      </c>
      <c r="B42" s="10" t="n">
        <v>220</v>
      </c>
      <c r="C42" s="10" t="n">
        <v>3</v>
      </c>
      <c r="E42" s="10" t="n">
        <v>5</v>
      </c>
      <c r="F42" s="10" t="n">
        <v>5</v>
      </c>
      <c r="H42" s="10" t="n">
        <v>5</v>
      </c>
      <c r="I42" s="10" t="n">
        <v>2</v>
      </c>
      <c r="J42" s="10" t="n">
        <v>5</v>
      </c>
      <c r="L42" s="10" t="n">
        <v>5</v>
      </c>
      <c r="AH42" s="6">
        <f>SUM(C42:AF42)</f>
        <v/>
      </c>
      <c r="AI42" s="10">
        <f>SUM(C42:AF42)*B42</f>
        <v/>
      </c>
    </row>
    <row r="43" ht="15.75" customHeight="1" s="13">
      <c r="A43" s="10" t="inlineStr">
        <is>
          <t>CHAAP</t>
        </is>
      </c>
      <c r="B43" s="10" t="n">
        <v>60</v>
      </c>
      <c r="C43" s="10" t="n">
        <v>15</v>
      </c>
      <c r="E43" s="10" t="n">
        <v>15</v>
      </c>
      <c r="F43" s="10" t="n">
        <v>10</v>
      </c>
      <c r="G43" s="10" t="n">
        <v>10</v>
      </c>
      <c r="H43" s="10" t="n">
        <v>10</v>
      </c>
      <c r="I43" s="10" t="n">
        <v>10</v>
      </c>
      <c r="J43" s="10" t="n">
        <v>15</v>
      </c>
      <c r="K43" s="10" t="n">
        <v>10</v>
      </c>
      <c r="L43" s="10" t="n">
        <v>10</v>
      </c>
      <c r="AH43" s="6">
        <f>SUM(C43:AF43)</f>
        <v/>
      </c>
      <c r="AI43" s="10">
        <f>SUM(C43:AF43)*B43</f>
        <v/>
      </c>
    </row>
    <row r="44" ht="15.75" customHeight="1" s="13">
      <c r="A44" s="10" t="inlineStr">
        <is>
          <t>DAHI</t>
        </is>
      </c>
      <c r="B44" s="10" t="n">
        <v>60</v>
      </c>
      <c r="C44" s="10" t="n">
        <v>10</v>
      </c>
      <c r="E44" s="10" t="n">
        <v>10</v>
      </c>
      <c r="F44" s="10" t="n">
        <v>5</v>
      </c>
      <c r="G44" s="10" t="n">
        <v>10</v>
      </c>
      <c r="H44" s="10" t="n">
        <v>5</v>
      </c>
      <c r="I44" s="10" t="n">
        <v>10</v>
      </c>
      <c r="J44" s="10" t="n">
        <v>5</v>
      </c>
      <c r="AH44" s="6">
        <f>SUM(C44:AF44)</f>
        <v/>
      </c>
      <c r="AI44" s="10">
        <f>SUM(C44:AF44)*B44</f>
        <v/>
      </c>
    </row>
    <row r="45" ht="15.75" customHeight="1" s="13">
      <c r="A45" s="10" t="inlineStr">
        <is>
          <t>NUTRILITE</t>
        </is>
      </c>
      <c r="B45" s="10" t="n">
        <v>180</v>
      </c>
      <c r="C45" s="10" t="n">
        <v>2</v>
      </c>
      <c r="E45" s="10" t="n">
        <v>2</v>
      </c>
      <c r="F45" s="10" t="n">
        <v>1</v>
      </c>
      <c r="G45" s="10" t="n">
        <v>2</v>
      </c>
      <c r="I45" s="10" t="n">
        <v>2</v>
      </c>
      <c r="J45" s="10" t="n">
        <v>2</v>
      </c>
      <c r="AH45" s="6">
        <f>SUM(C45:AF45)</f>
        <v/>
      </c>
      <c r="AI45" s="10">
        <f>SUM(C45:AF45)*B45</f>
        <v/>
      </c>
    </row>
    <row r="46" ht="15.75" customHeight="1" s="13">
      <c r="A46" s="10" t="inlineStr">
        <is>
          <t>NOODLES</t>
        </is>
      </c>
      <c r="B46" s="10" t="n">
        <v>45</v>
      </c>
      <c r="C46" s="10" t="n">
        <v>2</v>
      </c>
      <c r="G46" s="10" t="n">
        <v>2</v>
      </c>
      <c r="AH46" s="6">
        <f>SUM(C46:AF46)</f>
        <v/>
      </c>
      <c r="AI46" s="10">
        <f>SUM(C46:AF46)*B46</f>
        <v/>
      </c>
    </row>
    <row r="47" ht="15.75" customHeight="1" s="13">
      <c r="A47" s="10" t="inlineStr">
        <is>
          <t>MILK</t>
        </is>
      </c>
      <c r="B47" s="10" t="n">
        <v>60</v>
      </c>
      <c r="C47" s="10" t="n">
        <v>2</v>
      </c>
      <c r="E47" s="10" t="n">
        <v>2</v>
      </c>
      <c r="F47" s="10" t="n">
        <v>2</v>
      </c>
      <c r="G47" s="10" t="n">
        <v>2</v>
      </c>
      <c r="H47" s="10" t="n">
        <v>2</v>
      </c>
      <c r="I47" s="10" t="n">
        <v>2</v>
      </c>
      <c r="J47" s="10" t="n">
        <v>2</v>
      </c>
      <c r="L47" s="10" t="n">
        <v>2</v>
      </c>
      <c r="AH47" s="6">
        <f>SUM(C47:AF47)</f>
        <v/>
      </c>
      <c r="AI47" s="10">
        <f>SUM(C47:AF47)*B47</f>
        <v/>
      </c>
    </row>
    <row r="48" ht="15.75" customHeight="1" s="13">
      <c r="A48" s="11" t="inlineStr">
        <is>
          <t>MATAR</t>
        </is>
      </c>
      <c r="AH48" s="6">
        <f>SUM(C48:AF48)</f>
        <v/>
      </c>
      <c r="AI48" s="10">
        <f>SUM(C48:AF48)*B48</f>
        <v/>
      </c>
    </row>
    <row r="49" ht="15.75" customHeight="1" s="13"/>
    <row r="50" ht="15.75" customHeight="1" s="13">
      <c r="A50" s="4" t="inlineStr">
        <is>
          <t>TOTAL</t>
        </is>
      </c>
      <c r="AI50" s="10">
        <f>SUM(AI42:AI48)</f>
        <v/>
      </c>
    </row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>
      <c r="A56" s="14" t="inlineStr">
        <is>
          <t>RASHAN</t>
        </is>
      </c>
    </row>
    <row r="57" ht="15.75" customHeight="1" s="13">
      <c r="A57" s="4" t="inlineStr">
        <is>
          <t>ITEM</t>
        </is>
      </c>
      <c r="B57" s="4" t="inlineStr">
        <is>
          <t>Rate per KG</t>
        </is>
      </c>
      <c r="C57" s="5" t="n">
        <v>46174</v>
      </c>
      <c r="D57" s="5" t="n">
        <v>46175</v>
      </c>
      <c r="E57" s="5" t="n">
        <v>46176</v>
      </c>
      <c r="F57" s="5" t="n">
        <v>46177</v>
      </c>
      <c r="G57" s="5" t="n">
        <v>46178</v>
      </c>
      <c r="H57" s="5" t="n">
        <v>46179</v>
      </c>
      <c r="I57" s="5" t="n">
        <v>46180</v>
      </c>
      <c r="J57" s="5" t="n">
        <v>46181</v>
      </c>
      <c r="K57" s="5" t="n">
        <v>46182</v>
      </c>
      <c r="L57" s="5" t="n">
        <v>46183</v>
      </c>
      <c r="M57" s="5" t="n">
        <v>46184</v>
      </c>
      <c r="N57" s="5" t="n">
        <v>46185</v>
      </c>
      <c r="O57" s="5" t="n">
        <v>46186</v>
      </c>
      <c r="P57" s="5" t="n">
        <v>46187</v>
      </c>
      <c r="Q57" s="5" t="n">
        <v>46188</v>
      </c>
      <c r="R57" s="5" t="n">
        <v>46189</v>
      </c>
      <c r="S57" s="5" t="n">
        <v>46190</v>
      </c>
      <c r="T57" s="5" t="n">
        <v>46191</v>
      </c>
      <c r="U57" s="5" t="n">
        <v>46192</v>
      </c>
      <c r="V57" s="5" t="n">
        <v>46193</v>
      </c>
      <c r="W57" s="5" t="n">
        <v>46194</v>
      </c>
      <c r="X57" s="5" t="n">
        <v>46195</v>
      </c>
      <c r="Y57" s="5" t="n">
        <v>46196</v>
      </c>
      <c r="Z57" s="5" t="n">
        <v>46197</v>
      </c>
      <c r="AA57" s="5" t="n">
        <v>46198</v>
      </c>
      <c r="AB57" s="5" t="n">
        <v>46199</v>
      </c>
      <c r="AC57" s="5" t="n">
        <v>46200</v>
      </c>
      <c r="AD57" s="5" t="n">
        <v>46201</v>
      </c>
      <c r="AE57" s="5" t="n">
        <v>46202</v>
      </c>
      <c r="AF57" s="5" t="n">
        <v>46203</v>
      </c>
      <c r="AG57" s="5" t="n"/>
      <c r="AH57" s="12" t="inlineStr">
        <is>
          <t>TOTAL KG</t>
        </is>
      </c>
      <c r="AI57" s="7" t="inlineStr">
        <is>
          <t>TOTAL</t>
        </is>
      </c>
    </row>
    <row r="58" ht="15.75" customHeight="1" s="13">
      <c r="A58" s="10" t="inlineStr">
        <is>
          <t>REFINED</t>
        </is>
      </c>
      <c r="B58" s="10" t="n">
        <v>1610</v>
      </c>
      <c r="C58" s="10" t="n">
        <v>1</v>
      </c>
      <c r="E58" s="10" t="n">
        <v>1</v>
      </c>
      <c r="G58" s="10" t="n">
        <v>1</v>
      </c>
      <c r="H58" s="10" t="n">
        <v>1</v>
      </c>
      <c r="I58" s="10" t="n">
        <v>1</v>
      </c>
      <c r="AH58" s="6">
        <f>SUM(C58:AF58)</f>
        <v/>
      </c>
      <c r="AI58" s="9">
        <f>SUM(C58:AF58)*B58</f>
        <v/>
      </c>
    </row>
    <row r="59" ht="15.75" customHeight="1" s="13">
      <c r="A59" s="10" t="inlineStr">
        <is>
          <t>KAJU</t>
        </is>
      </c>
      <c r="B59" s="10" t="n">
        <v>662</v>
      </c>
      <c r="E59" s="10" t="n">
        <v>1</v>
      </c>
      <c r="F59" s="10" t="n">
        <v>1</v>
      </c>
      <c r="H59" s="10" t="n">
        <v>2</v>
      </c>
      <c r="I59" s="10" t="n">
        <v>1</v>
      </c>
      <c r="AH59" s="6">
        <f>SUM(C59:AF59)</f>
        <v/>
      </c>
      <c r="AI59" s="9">
        <f>SUM(C59:AF59)*B59</f>
        <v/>
      </c>
    </row>
    <row r="60" ht="15.75" customHeight="1" s="13">
      <c r="A60" s="10" t="inlineStr">
        <is>
          <t>MAGAZ</t>
        </is>
      </c>
      <c r="B60" s="10" t="n">
        <v>615</v>
      </c>
      <c r="F60" s="10" t="n">
        <v>1</v>
      </c>
      <c r="L60" s="10" t="n">
        <v>1</v>
      </c>
      <c r="AH60" s="6">
        <f>SUM(C60:AF60)</f>
        <v/>
      </c>
      <c r="AI60" s="9">
        <f>SUM(C60:AF60)*B60</f>
        <v/>
      </c>
    </row>
    <row r="61" ht="15.75" customHeight="1" s="13">
      <c r="A61" s="10" t="inlineStr">
        <is>
          <t>AATA</t>
        </is>
      </c>
      <c r="B61" s="10" t="n">
        <v>1086</v>
      </c>
      <c r="C61" s="10" t="n">
        <v>1</v>
      </c>
      <c r="I61" s="10" t="n">
        <v>1</v>
      </c>
      <c r="AH61" s="6">
        <f>SUM(C61:AF61)</f>
        <v/>
      </c>
      <c r="AI61" s="9">
        <f>SUM(C61:AF61)*B61</f>
        <v/>
      </c>
    </row>
    <row r="62" ht="15.75" customHeight="1" s="13">
      <c r="A62" s="10" t="inlineStr">
        <is>
          <t>MAIDA</t>
        </is>
      </c>
      <c r="B62" s="10" t="n">
        <v>1100</v>
      </c>
      <c r="E62" s="10" t="n">
        <v>1</v>
      </c>
      <c r="I62" s="10" t="n">
        <v>1</v>
      </c>
      <c r="AH62" s="6">
        <f>SUM(C62:AF62)</f>
        <v/>
      </c>
      <c r="AI62" s="9">
        <f>SUM(C62:AF62)*B62</f>
        <v/>
      </c>
    </row>
    <row r="63" ht="15.75" customHeight="1" s="13">
      <c r="A63" s="10" t="inlineStr">
        <is>
          <t>CREAM</t>
        </is>
      </c>
      <c r="B63" s="10" t="n">
        <v>240</v>
      </c>
      <c r="D63" s="10" t="n">
        <v>4</v>
      </c>
      <c r="E63" s="10" t="n">
        <v>6</v>
      </c>
      <c r="F63" s="10" t="n">
        <v>4</v>
      </c>
      <c r="G63" s="10" t="n">
        <v>5</v>
      </c>
      <c r="H63" s="10" t="n">
        <v>6</v>
      </c>
      <c r="I63" s="10" t="n">
        <v>6</v>
      </c>
      <c r="J63" s="10" t="n">
        <v>5</v>
      </c>
      <c r="K63" s="10" t="n">
        <v>4</v>
      </c>
      <c r="AH63" s="6">
        <f>SUM(C63:AF63)</f>
        <v/>
      </c>
      <c r="AI63" s="9">
        <f>SUM(C63:AF63)*B63</f>
        <v/>
      </c>
    </row>
    <row r="64" ht="15.75" customHeight="1" s="13">
      <c r="A64" s="10" t="inlineStr">
        <is>
          <t>DESI GHEE</t>
        </is>
      </c>
      <c r="B64" s="10" t="n">
        <v>560</v>
      </c>
      <c r="G64" s="10" t="n">
        <v>1</v>
      </c>
      <c r="L64" s="10" t="n">
        <v>1</v>
      </c>
      <c r="AH64" s="6">
        <f>SUM(C64:AF64)</f>
        <v/>
      </c>
      <c r="AI64" s="9">
        <f>SUM(C64:AF64)*B64</f>
        <v/>
      </c>
    </row>
    <row r="65" ht="15.75" customHeight="1" s="13">
      <c r="A65" s="10" t="inlineStr">
        <is>
          <t>MUSTURD OIL</t>
        </is>
      </c>
      <c r="B65" s="10" t="n">
        <v>190</v>
      </c>
      <c r="C65" s="10" t="n">
        <v>1</v>
      </c>
      <c r="F65" s="10" t="n">
        <v>1</v>
      </c>
      <c r="H65" s="10" t="n">
        <v>1</v>
      </c>
      <c r="I65" s="10" t="n">
        <v>1</v>
      </c>
      <c r="AH65" s="6">
        <f>SUM(C65:AF65)</f>
        <v/>
      </c>
      <c r="AI65" s="9">
        <f>SUM(C65:AF65)*B65</f>
        <v/>
      </c>
    </row>
    <row r="66" ht="15.75" customHeight="1" s="13">
      <c r="A66" s="10" t="inlineStr">
        <is>
          <t>TATA SALT</t>
        </is>
      </c>
      <c r="B66" s="10" t="n">
        <v>29</v>
      </c>
      <c r="E66" s="10" t="n">
        <v>5</v>
      </c>
      <c r="H66" s="10" t="n">
        <v>5</v>
      </c>
      <c r="I66" s="10" t="n">
        <v>5</v>
      </c>
      <c r="AH66" s="6">
        <f>SUM(C66:AF66)</f>
        <v/>
      </c>
      <c r="AI66" s="9">
        <f>SUM(C66:AF66)*B66</f>
        <v/>
      </c>
    </row>
    <row r="67" ht="15.75" customHeight="1" s="13">
      <c r="A67" s="10" t="inlineStr">
        <is>
          <t>T KETCHUP</t>
        </is>
      </c>
      <c r="B67" s="10" t="n">
        <v>249</v>
      </c>
      <c r="I67" s="10" t="n">
        <v>1</v>
      </c>
      <c r="AH67" s="6">
        <f>SUM(C67:AF67)</f>
        <v/>
      </c>
      <c r="AI67" s="9">
        <f>SUM(C67:AF67)*B67</f>
        <v/>
      </c>
    </row>
    <row r="68" ht="15.75" customHeight="1" s="13">
      <c r="A68" s="10" t="inlineStr">
        <is>
          <t>G C SAUCE</t>
        </is>
      </c>
      <c r="B68" s="10" t="n">
        <v>186</v>
      </c>
      <c r="I68" s="10" t="n">
        <v>1</v>
      </c>
      <c r="AH68" s="6">
        <f>SUM(C68:AF68)</f>
        <v/>
      </c>
      <c r="AI68" s="9">
        <f>SUM(C68:AF68)*B68</f>
        <v/>
      </c>
    </row>
    <row r="69" ht="15.75" customHeight="1" s="13">
      <c r="A69" s="10" t="inlineStr">
        <is>
          <t>SOYA SAUCE</t>
        </is>
      </c>
      <c r="B69" s="10" t="n">
        <v>219</v>
      </c>
      <c r="C69" s="10" t="n">
        <v>1</v>
      </c>
      <c r="AH69" s="6">
        <f>SUM(C69:AF69)</f>
        <v/>
      </c>
      <c r="AI69" s="9">
        <f>SUM(C69:AF69)*B69</f>
        <v/>
      </c>
    </row>
    <row r="70" ht="15.75" customHeight="1" s="13">
      <c r="A70" s="10" t="inlineStr">
        <is>
          <t>VINEGAR</t>
        </is>
      </c>
      <c r="B70" s="10" t="n">
        <v>214</v>
      </c>
      <c r="E70" s="10" t="n">
        <v>1</v>
      </c>
      <c r="L70" s="10" t="n">
        <v>1</v>
      </c>
      <c r="AH70" s="6">
        <f>SUM(C70:AF70)</f>
        <v/>
      </c>
      <c r="AI70" s="9">
        <f>SUM(C70:AF70)*B70</f>
        <v/>
      </c>
    </row>
    <row r="71" ht="15.75" customHeight="1" s="13">
      <c r="A71" s="10" t="inlineStr">
        <is>
          <t>AJINOMOTO</t>
        </is>
      </c>
      <c r="AH71" s="6">
        <f>SUM(C71:AF71)</f>
        <v/>
      </c>
      <c r="AI71" s="9">
        <f>SUM(C71:AF71)*B71</f>
        <v/>
      </c>
    </row>
    <row r="72" ht="15.75" customHeight="1" s="13">
      <c r="A72" s="10" t="inlineStr">
        <is>
          <t>MYONESE</t>
        </is>
      </c>
      <c r="B72" s="10" t="n">
        <v>185</v>
      </c>
      <c r="C72" s="10" t="n">
        <v>2</v>
      </c>
      <c r="L72" s="10" t="n">
        <v>2</v>
      </c>
      <c r="AH72" s="6">
        <f>SUM(C72:AF72)</f>
        <v/>
      </c>
      <c r="AI72" s="9">
        <f>SUM(C72:AF72)*B72</f>
        <v/>
      </c>
    </row>
    <row r="73" ht="15.75" customHeight="1" s="13">
      <c r="A73" s="10" t="inlineStr">
        <is>
          <t>CORN FLOUR</t>
        </is>
      </c>
      <c r="B73" s="10" t="n">
        <v>315</v>
      </c>
      <c r="E73" s="10" t="n">
        <v>1</v>
      </c>
      <c r="L73" s="10" t="n">
        <v>1</v>
      </c>
      <c r="AH73" s="6">
        <f>SUM(C73:AF73)</f>
        <v/>
      </c>
      <c r="AI73" s="9">
        <f>SUM(C73:AF73)*B73</f>
        <v/>
      </c>
    </row>
    <row r="74" ht="15.75" customHeight="1" s="13">
      <c r="A74" s="10" t="inlineStr">
        <is>
          <t>BREAD CRUMBS</t>
        </is>
      </c>
      <c r="B74" s="10" t="n">
        <v>130</v>
      </c>
      <c r="I74" s="10" t="n">
        <v>1</v>
      </c>
      <c r="AH74" s="6">
        <f>SUM(C74:AF74)</f>
        <v/>
      </c>
      <c r="AI74" s="9">
        <f>SUM(C74:AF74)*B74</f>
        <v/>
      </c>
    </row>
    <row r="75" ht="15.75" customHeight="1" s="13">
      <c r="A75" s="10" t="inlineStr">
        <is>
          <t>BESAN</t>
        </is>
      </c>
      <c r="AH75" s="6">
        <f>SUM(C75:AF75)</f>
        <v/>
      </c>
      <c r="AI75" s="9">
        <f>SUM(C75:AF75)*B75</f>
        <v/>
      </c>
    </row>
    <row r="76" ht="15.75" customHeight="1" s="13">
      <c r="A76" s="10" t="inlineStr">
        <is>
          <t>URAD DAL</t>
        </is>
      </c>
      <c r="B76" s="10" t="n">
        <v>591</v>
      </c>
      <c r="F76" s="10" t="n">
        <v>1</v>
      </c>
      <c r="AH76" s="6">
        <f>SUM(C76:AF76)</f>
        <v/>
      </c>
      <c r="AI76" s="9">
        <f>SUM(C76:AF76)*B76</f>
        <v/>
      </c>
    </row>
    <row r="77" ht="15.75" customHeight="1" s="13">
      <c r="A77" s="11" t="inlineStr">
        <is>
          <t>RAJMA</t>
        </is>
      </c>
      <c r="B77" s="10" t="n">
        <v>586</v>
      </c>
      <c r="F77" s="10" t="n">
        <v>1</v>
      </c>
      <c r="AH77" s="6">
        <f>SUM(C77:AF77)</f>
        <v/>
      </c>
      <c r="AI77" s="9">
        <f>SUM(C77:AF77)*B77</f>
        <v/>
      </c>
    </row>
    <row r="78" ht="15.75" customHeight="1" s="13">
      <c r="A78" s="11" t="inlineStr">
        <is>
          <t>CHANA DAL</t>
        </is>
      </c>
      <c r="B78" s="10" t="n">
        <v>466</v>
      </c>
      <c r="F78" s="10" t="n">
        <v>1</v>
      </c>
      <c r="AH78" s="6">
        <f>SUM(C78:AF78)</f>
        <v/>
      </c>
      <c r="AI78" s="9">
        <f>SUM(C78:AF78)*B78</f>
        <v/>
      </c>
    </row>
    <row r="79" ht="15.75" customHeight="1" s="13">
      <c r="A79" s="11" t="inlineStr">
        <is>
          <t>ARHAR DAL</t>
        </is>
      </c>
      <c r="AH79" s="6">
        <f>SUM(C79:AF79)</f>
        <v/>
      </c>
      <c r="AI79" s="9">
        <f>SUM(C79:AF79)*B79</f>
        <v/>
      </c>
    </row>
    <row r="80" ht="15.75" customHeight="1" s="13">
      <c r="A80" s="11" t="inlineStr">
        <is>
          <t>MIX DAL</t>
        </is>
      </c>
      <c r="B80" s="10" t="n">
        <v>536</v>
      </c>
      <c r="L80" s="10" t="n">
        <v>1</v>
      </c>
      <c r="AH80" s="6">
        <f>SUM(C80:AF80)</f>
        <v/>
      </c>
      <c r="AI80" s="9">
        <f>SUM(C80:AF80)*B80</f>
        <v/>
      </c>
    </row>
    <row r="81" ht="15.75" customHeight="1" s="13">
      <c r="A81" s="11" t="inlineStr">
        <is>
          <t>STAFF RICE</t>
        </is>
      </c>
      <c r="AH81" s="6">
        <f>SUM(C81:AF81)</f>
        <v/>
      </c>
      <c r="AI81" s="9">
        <f>SUM(C81:AF81)*B81</f>
        <v/>
      </c>
    </row>
    <row r="82" ht="15.75" customHeight="1" s="13">
      <c r="A82" s="11" t="inlineStr">
        <is>
          <t>SELLA RICE</t>
        </is>
      </c>
      <c r="B82" s="10" t="n">
        <v>115</v>
      </c>
      <c r="E82" s="10" t="n">
        <v>3</v>
      </c>
      <c r="I82" s="10" t="n">
        <v>4</v>
      </c>
      <c r="AH82" s="6">
        <f>SUM(C82:AF82)</f>
        <v/>
      </c>
      <c r="AI82" s="9">
        <f>SUM(C82:AF82)*B82</f>
        <v/>
      </c>
    </row>
    <row r="83" ht="15.75" customHeight="1" s="13">
      <c r="A83" s="11" t="inlineStr">
        <is>
          <t>BLACK SALT</t>
        </is>
      </c>
      <c r="B83" s="11" t="n">
        <v>79</v>
      </c>
      <c r="C83" s="11" t="n"/>
      <c r="D83" s="11" t="n"/>
      <c r="E83" s="11" t="n">
        <v>1</v>
      </c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6">
        <f>SUM(C83:AF83)</f>
        <v/>
      </c>
      <c r="AI83" s="9">
        <f>SUM(C83:AF83)*B83</f>
        <v/>
      </c>
    </row>
    <row r="84" ht="15.75" customHeight="1" s="13">
      <c r="A84" s="11" t="inlineStr">
        <is>
          <t>AMCHUR</t>
        </is>
      </c>
      <c r="B84" s="11" t="n">
        <v>229</v>
      </c>
      <c r="C84" s="11" t="n"/>
      <c r="D84" s="11" t="n"/>
      <c r="E84" s="11" t="n">
        <v>1</v>
      </c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6">
        <f>SUM(C84:AF84)</f>
        <v/>
      </c>
      <c r="AI84" s="9">
        <f>SUM(C84:AF84)*B84</f>
        <v/>
      </c>
    </row>
    <row r="85" ht="15.75" customHeight="1" s="13">
      <c r="A85" s="11" t="inlineStr">
        <is>
          <t>KALI MIRCH</t>
        </is>
      </c>
      <c r="B85" s="10" t="n">
        <v>850</v>
      </c>
      <c r="E85" s="10" t="n">
        <v>0.5</v>
      </c>
      <c r="AH85" s="6">
        <f>SUM(C85:AF85)</f>
        <v/>
      </c>
      <c r="AI85" s="9">
        <f>SUM(C85:AF85)*B85</f>
        <v/>
      </c>
    </row>
    <row r="86" ht="15.75" customHeight="1" s="13">
      <c r="A86" s="11" t="inlineStr">
        <is>
          <t>JAVITRI</t>
        </is>
      </c>
      <c r="AH86" s="6">
        <f>SUM(C86:AF86)</f>
        <v/>
      </c>
      <c r="AI86" s="9">
        <f>SUM(C86:AF86)*B86</f>
        <v/>
      </c>
    </row>
    <row r="87" ht="15.75" customHeight="1" s="13">
      <c r="A87" s="11" t="inlineStr">
        <is>
          <t>BADDI ELACHI</t>
        </is>
      </c>
      <c r="AH87" s="6">
        <f>SUM(C87:AF87)</f>
        <v/>
      </c>
      <c r="AI87" s="9">
        <f>SUM(C87:AF87)*B87</f>
        <v/>
      </c>
    </row>
    <row r="88" ht="15.75" customHeight="1" s="13">
      <c r="A88" s="11" t="inlineStr">
        <is>
          <t>LAUNG</t>
        </is>
      </c>
      <c r="AH88" s="6">
        <f>SUM(C88:AF88)</f>
        <v/>
      </c>
      <c r="AI88" s="9">
        <f>SUM(C88:AF88)*B88</f>
        <v/>
      </c>
    </row>
    <row r="89" ht="15.75" customHeight="1" s="13">
      <c r="A89" s="11" t="inlineStr">
        <is>
          <t>DAL CHINI</t>
        </is>
      </c>
      <c r="AH89" s="6">
        <f>SUM(C89:AF89)</f>
        <v/>
      </c>
      <c r="AI89" s="9">
        <f>SUM(C89:AF89)*B89</f>
        <v/>
      </c>
    </row>
    <row r="90" ht="15.75" customHeight="1" s="13">
      <c r="A90" s="11" t="inlineStr">
        <is>
          <t>JEERA</t>
        </is>
      </c>
      <c r="B90" s="10" t="n">
        <v>280</v>
      </c>
      <c r="C90" s="10" t="n">
        <v>1</v>
      </c>
      <c r="I90" s="10" t="n">
        <v>1</v>
      </c>
      <c r="AH90" s="6">
        <f>SUM(C90:AF90)</f>
        <v/>
      </c>
      <c r="AI90" s="9">
        <f>SUM(C90:AF90)*B90</f>
        <v/>
      </c>
    </row>
    <row r="91" ht="15.75" customHeight="1" s="13">
      <c r="A91" s="11" t="inlineStr">
        <is>
          <t>JAIFAL</t>
        </is>
      </c>
      <c r="AH91" s="6">
        <f>SUM(C91:AF91)</f>
        <v/>
      </c>
      <c r="AI91" s="9">
        <f>SUM(C91:AF91)*B91</f>
        <v/>
      </c>
    </row>
    <row r="92" ht="15.75" customHeight="1" s="13">
      <c r="A92" s="11" t="inlineStr">
        <is>
          <t>STAR FOOL</t>
        </is>
      </c>
      <c r="AH92" s="6">
        <f>SUM(C92:AF92)</f>
        <v/>
      </c>
      <c r="AI92" s="9">
        <f>SUM(C92:AF92)*B92</f>
        <v/>
      </c>
    </row>
    <row r="93" ht="15.75" customHeight="1" s="13">
      <c r="A93" s="11" t="inlineStr">
        <is>
          <t>RED COLOUR</t>
        </is>
      </c>
      <c r="B93" s="10" t="n">
        <v>80</v>
      </c>
      <c r="E93" s="10" t="n">
        <v>2</v>
      </c>
      <c r="H93" s="10" t="n">
        <v>1</v>
      </c>
      <c r="I93" s="10" t="n">
        <v>1</v>
      </c>
      <c r="AH93" s="6">
        <f>SUM(C93:AF93)</f>
        <v/>
      </c>
      <c r="AI93" s="9">
        <f>SUM(C93:AF93)*B93</f>
        <v/>
      </c>
    </row>
    <row r="94" ht="15.75" customHeight="1" s="13">
      <c r="A94" s="11" t="inlineStr">
        <is>
          <t>AMUL BUTTER</t>
        </is>
      </c>
      <c r="B94" s="10" t="n">
        <v>285</v>
      </c>
      <c r="C94" s="10" t="n">
        <v>1</v>
      </c>
      <c r="E94" s="10" t="n">
        <v>1</v>
      </c>
      <c r="G94" s="10" t="n">
        <v>1</v>
      </c>
      <c r="I94" s="10" t="n">
        <v>1</v>
      </c>
      <c r="AH94" s="6">
        <f>SUM(C94:AF94)</f>
        <v/>
      </c>
      <c r="AI94" s="9">
        <f>SUM(C94:AF94)*B94</f>
        <v/>
      </c>
    </row>
    <row r="95" ht="15.75" customHeight="1" s="13">
      <c r="A95" s="11" t="inlineStr">
        <is>
          <t>LOLLYPOP</t>
        </is>
      </c>
      <c r="B95" s="10" t="n">
        <v>475</v>
      </c>
      <c r="C95" s="10" t="n">
        <v>1</v>
      </c>
      <c r="G95" s="10" t="n">
        <v>1</v>
      </c>
      <c r="I95" s="10" t="n">
        <v>1</v>
      </c>
      <c r="AH95" s="6">
        <f>SUM(C95:AF95)</f>
        <v/>
      </c>
      <c r="AI95" s="9">
        <f>SUM(C95:AF95)*B95</f>
        <v/>
      </c>
    </row>
    <row r="96" ht="15.75" customHeight="1" s="13">
      <c r="A96" s="11" t="inlineStr">
        <is>
          <t>SURF</t>
        </is>
      </c>
      <c r="B96" s="10" t="n">
        <v>151</v>
      </c>
      <c r="C96" s="10" t="n">
        <v>2</v>
      </c>
      <c r="E96" s="10" t="n">
        <v>1</v>
      </c>
      <c r="F96" s="10" t="n">
        <v>1</v>
      </c>
      <c r="I96" s="10" t="n">
        <v>1</v>
      </c>
      <c r="AH96" s="6">
        <f>SUM(C96:AF96)</f>
        <v/>
      </c>
      <c r="AI96" s="9">
        <f>SUM(C96:AF96)*B96</f>
        <v/>
      </c>
    </row>
    <row r="97" ht="15.75" customHeight="1" s="13">
      <c r="A97" s="11" t="inlineStr">
        <is>
          <t>SUGAR</t>
        </is>
      </c>
      <c r="AH97" s="6">
        <f>SUM(C97:AF97)</f>
        <v/>
      </c>
      <c r="AI97" s="9">
        <f>SUM(C97:AF97)*B97</f>
        <v/>
      </c>
    </row>
    <row r="98" ht="15.75" customHeight="1" s="13">
      <c r="A98" s="11" t="inlineStr">
        <is>
          <t>TEA</t>
        </is>
      </c>
      <c r="B98" s="10" t="n">
        <v>220</v>
      </c>
      <c r="I98" s="10" t="n">
        <v>1</v>
      </c>
      <c r="AH98" s="6">
        <f>SUM(C98:AF98)</f>
        <v/>
      </c>
      <c r="AI98" s="9">
        <f>SUM(C98:AF98)*B98</f>
        <v/>
      </c>
    </row>
    <row r="99" ht="15.75" customHeight="1" s="13">
      <c r="A99" s="11" t="inlineStr">
        <is>
          <t xml:space="preserve">KASTURI METHI </t>
        </is>
      </c>
      <c r="B99" s="10" t="n">
        <v>125</v>
      </c>
      <c r="L99" s="10" t="n">
        <v>2</v>
      </c>
      <c r="AH99" s="6" t="n"/>
      <c r="AI99" s="9" t="n"/>
    </row>
    <row r="100" ht="15.75" customHeight="1" s="13">
      <c r="A100" s="11" t="inlineStr">
        <is>
          <t>SAUNF</t>
        </is>
      </c>
      <c r="B100" s="10" t="n">
        <v>39</v>
      </c>
      <c r="L100" s="10" t="n">
        <v>10</v>
      </c>
      <c r="AH100" s="6" t="n"/>
      <c r="AI100" s="9" t="n"/>
    </row>
    <row r="101" ht="15.75" customHeight="1" s="13">
      <c r="A101" s="11" t="inlineStr">
        <is>
          <t xml:space="preserve">EXTRA DAILY </t>
        </is>
      </c>
      <c r="C101" s="10" t="n">
        <v>398</v>
      </c>
      <c r="F101" s="10" t="n">
        <v>700</v>
      </c>
      <c r="H101" s="10" t="n">
        <v>1483</v>
      </c>
      <c r="I101" s="10" t="n">
        <v>516</v>
      </c>
      <c r="J101" s="10" t="n">
        <v>289</v>
      </c>
      <c r="AH101" s="6">
        <f>SUM(C101:AF101)</f>
        <v/>
      </c>
      <c r="AI101" s="9">
        <f>SUM(C101:AF101)*B101</f>
        <v/>
      </c>
    </row>
    <row r="102" ht="15.75" customHeight="1" s="13">
      <c r="AI102" s="9" t="n"/>
    </row>
    <row r="103" ht="15.75" customHeight="1" s="13">
      <c r="AI103" s="9" t="n"/>
    </row>
    <row r="104" ht="15.75" customHeight="1" s="13">
      <c r="A104" s="4" t="inlineStr">
        <is>
          <t>TOTAL</t>
        </is>
      </c>
      <c r="AI104" s="7">
        <f>SUM(AI58:AI101)</f>
        <v/>
      </c>
    </row>
    <row r="105" ht="15.75" customHeight="1" s="13"/>
    <row r="106" ht="15.75" customHeight="1" s="13">
      <c r="A106" s="14" t="inlineStr">
        <is>
          <t>DISPOSAL</t>
        </is>
      </c>
    </row>
    <row r="107" ht="15.75" customHeight="1" s="13">
      <c r="A107" s="4" t="inlineStr">
        <is>
          <t>ITEM</t>
        </is>
      </c>
      <c r="B107" s="4" t="inlineStr">
        <is>
          <t>Rate per KG</t>
        </is>
      </c>
      <c r="C107" s="5" t="n">
        <v>46174</v>
      </c>
      <c r="D107" s="5" t="n">
        <v>46175</v>
      </c>
      <c r="E107" s="5" t="n">
        <v>46176</v>
      </c>
      <c r="F107" s="5" t="n">
        <v>46177</v>
      </c>
      <c r="G107" s="5" t="n">
        <v>46178</v>
      </c>
      <c r="H107" s="5" t="n">
        <v>46179</v>
      </c>
      <c r="I107" s="5" t="n">
        <v>46180</v>
      </c>
      <c r="J107" s="5" t="n">
        <v>46181</v>
      </c>
      <c r="K107" s="5" t="n">
        <v>46182</v>
      </c>
      <c r="L107" s="5" t="n">
        <v>46183</v>
      </c>
      <c r="M107" s="5" t="n">
        <v>46184</v>
      </c>
      <c r="N107" s="5" t="n">
        <v>46185</v>
      </c>
      <c r="O107" s="5" t="n">
        <v>46186</v>
      </c>
      <c r="P107" s="5" t="n">
        <v>46187</v>
      </c>
      <c r="Q107" s="5" t="n">
        <v>46188</v>
      </c>
      <c r="R107" s="5" t="n">
        <v>46189</v>
      </c>
      <c r="S107" s="5" t="n">
        <v>46190</v>
      </c>
      <c r="T107" s="5" t="n">
        <v>46191</v>
      </c>
      <c r="U107" s="5" t="n">
        <v>46192</v>
      </c>
      <c r="V107" s="5" t="n">
        <v>46193</v>
      </c>
      <c r="W107" s="5" t="n">
        <v>46194</v>
      </c>
      <c r="X107" s="5" t="n">
        <v>46195</v>
      </c>
      <c r="Y107" s="5" t="n">
        <v>46196</v>
      </c>
      <c r="Z107" s="5" t="n">
        <v>46197</v>
      </c>
      <c r="AA107" s="5" t="n">
        <v>46198</v>
      </c>
      <c r="AB107" s="5" t="n">
        <v>46199</v>
      </c>
      <c r="AC107" s="5" t="n">
        <v>46200</v>
      </c>
      <c r="AD107" s="5" t="n">
        <v>46201</v>
      </c>
      <c r="AE107" s="5" t="n">
        <v>46202</v>
      </c>
      <c r="AF107" s="5" t="n">
        <v>46203</v>
      </c>
      <c r="AG107" s="5" t="n"/>
      <c r="AH107" s="6" t="inlineStr">
        <is>
          <t>TOTAL KG</t>
        </is>
      </c>
      <c r="AI107" s="7" t="inlineStr">
        <is>
          <t>TOTAL</t>
        </is>
      </c>
    </row>
    <row r="108" ht="15.75" customHeight="1" s="13">
      <c r="AH108" s="6">
        <f>SUM(C108:AF108)</f>
        <v/>
      </c>
      <c r="AI108" s="9">
        <f>SUM(C108:AF108)*B108</f>
        <v/>
      </c>
    </row>
    <row r="109" ht="15.75" customHeight="1" s="13">
      <c r="A109" s="10" t="inlineStr">
        <is>
          <t>SILVER FOIL</t>
        </is>
      </c>
      <c r="B109" s="10" t="n">
        <v>500</v>
      </c>
      <c r="M109" s="10" t="n">
        <v>1</v>
      </c>
      <c r="AH109" s="6">
        <f>SUM(C109:AF109)</f>
        <v/>
      </c>
      <c r="AI109" s="9">
        <f>SUM(C109:AF109)*B109</f>
        <v/>
      </c>
    </row>
    <row r="110" ht="15.75" customHeight="1" s="13">
      <c r="A110" s="10" t="inlineStr">
        <is>
          <t>CLING WRAPE</t>
        </is>
      </c>
      <c r="B110" s="10" t="n">
        <v>400</v>
      </c>
      <c r="M110" s="10" t="n">
        <v>1</v>
      </c>
      <c r="AH110" s="6">
        <f>SUM(C110:AF110)</f>
        <v/>
      </c>
      <c r="AI110" s="9">
        <f>SUM(C110:AF110)*B110</f>
        <v/>
      </c>
    </row>
    <row r="111" ht="15.75" customHeight="1" s="13">
      <c r="A111" s="10" t="inlineStr">
        <is>
          <t>PAPER PLATE</t>
        </is>
      </c>
      <c r="B111" s="10" t="n">
        <v>7</v>
      </c>
      <c r="M111" s="10" t="n">
        <v>20</v>
      </c>
      <c r="AH111" s="6">
        <f>SUM(C111:AF111)</f>
        <v/>
      </c>
      <c r="AI111" s="9">
        <f>SUM(C111:AF111)*B111</f>
        <v/>
      </c>
    </row>
    <row r="112" ht="15.75" customHeight="1" s="13">
      <c r="A112" s="10" t="inlineStr">
        <is>
          <t xml:space="preserve">DONA </t>
        </is>
      </c>
      <c r="B112" s="10" t="n">
        <v>5</v>
      </c>
      <c r="M112" s="10" t="n">
        <v>20</v>
      </c>
      <c r="AH112" s="6">
        <f>SUM(C112:AF112)</f>
        <v/>
      </c>
      <c r="AI112" s="9">
        <f>SUM(C112:AF112)*B112</f>
        <v/>
      </c>
    </row>
    <row r="113" ht="15.75" customHeight="1" s="13">
      <c r="A113" s="10" t="inlineStr">
        <is>
          <t>FORK</t>
        </is>
      </c>
      <c r="B113" s="10" t="n">
        <v>50</v>
      </c>
      <c r="M113" s="10" t="n">
        <v>5</v>
      </c>
      <c r="AH113" s="6">
        <f>SUM(C113:AF113)</f>
        <v/>
      </c>
      <c r="AI113" s="9">
        <f>SUM(C113:AF113)*B113</f>
        <v/>
      </c>
    </row>
    <row r="114" ht="15.75" customHeight="1" s="13">
      <c r="A114" s="10" t="inlineStr">
        <is>
          <t>SPOON</t>
        </is>
      </c>
      <c r="B114" s="10" t="n">
        <v>50</v>
      </c>
      <c r="M114" s="10" t="n">
        <v>3</v>
      </c>
      <c r="AH114" s="6">
        <f>SUM(C114:AF114)</f>
        <v/>
      </c>
      <c r="AI114" s="9">
        <f>SUM(C114:AF114)*B114</f>
        <v/>
      </c>
    </row>
    <row r="115" ht="15.75" customHeight="1" s="13">
      <c r="A115" s="10" t="inlineStr">
        <is>
          <t>35 ML DIP</t>
        </is>
      </c>
      <c r="B115" s="10" t="n">
        <v>40</v>
      </c>
      <c r="M115" s="10" t="n">
        <v>3</v>
      </c>
      <c r="AH115" s="6">
        <f>SUM(C115:AF115)</f>
        <v/>
      </c>
      <c r="AI115" s="9">
        <f>SUM(C115:AF115)*B115</f>
        <v/>
      </c>
    </row>
    <row r="116" ht="15.75" customHeight="1" s="13">
      <c r="A116" s="10" t="inlineStr">
        <is>
          <t>FRUIT STICK</t>
        </is>
      </c>
      <c r="B116" s="10" t="n">
        <v>20</v>
      </c>
      <c r="M116" s="10" t="n">
        <v>5</v>
      </c>
      <c r="AH116" s="6">
        <f>SUM(C116:AF116)</f>
        <v/>
      </c>
      <c r="AI116" s="9">
        <f>SUM(C116:AF116)*B116</f>
        <v/>
      </c>
    </row>
    <row r="117" ht="15.75" customHeight="1" s="13">
      <c r="A117" s="10" t="inlineStr">
        <is>
          <t>GARBAGE</t>
        </is>
      </c>
      <c r="B117" s="10" t="n">
        <v>120</v>
      </c>
      <c r="M117" s="10" t="n">
        <v>3</v>
      </c>
      <c r="AH117" s="6">
        <f>SUM(C117:AF117)</f>
        <v/>
      </c>
      <c r="AI117" s="9">
        <f>SUM(C117:AF117)*B117</f>
        <v/>
      </c>
    </row>
    <row r="118" ht="15.75" customHeight="1" s="13">
      <c r="A118" s="10" t="inlineStr">
        <is>
          <t>13*16 POLLY</t>
        </is>
      </c>
      <c r="B118" s="10" t="n">
        <v>40</v>
      </c>
      <c r="M118" s="10" t="n">
        <v>2</v>
      </c>
      <c r="AH118" s="6">
        <f>SUM(C118:AF118)</f>
        <v/>
      </c>
      <c r="AI118" s="9">
        <f>SUM(C118:AF118)*B118</f>
        <v/>
      </c>
    </row>
    <row r="119" ht="15.75" customHeight="1" s="13">
      <c r="A119" s="10" t="inlineStr">
        <is>
          <t>BROWN LIFAFA</t>
        </is>
      </c>
      <c r="AH119" s="6">
        <f>SUM(C119:AF119)</f>
        <v/>
      </c>
      <c r="AI119" s="9">
        <f>SUM(C119:AF119)*B119</f>
        <v/>
      </c>
    </row>
    <row r="120" ht="15.75" customHeight="1" s="13">
      <c r="A120" s="10" t="inlineStr">
        <is>
          <t>TEA CUP</t>
        </is>
      </c>
      <c r="B120" s="10" t="n">
        <v>40</v>
      </c>
      <c r="M120" s="10" t="n">
        <v>2</v>
      </c>
      <c r="AH120" s="6">
        <f>SUM(C120:AF120)</f>
        <v/>
      </c>
      <c r="AI120" s="9">
        <f>SUM(C120:AF120)*B120</f>
        <v/>
      </c>
    </row>
    <row r="121" ht="15.75" customHeight="1" s="13">
      <c r="A121" s="10" t="inlineStr">
        <is>
          <t>WATER GLASS</t>
        </is>
      </c>
      <c r="B121" s="10" t="n">
        <v>40</v>
      </c>
      <c r="M121" s="10" t="n">
        <v>10</v>
      </c>
      <c r="AH121" s="6">
        <f>SUM(C121:AF121)</f>
        <v/>
      </c>
      <c r="AI121" s="9">
        <f>SUM(C121:AF121)*B121</f>
        <v/>
      </c>
    </row>
    <row r="122" ht="15.75" customHeight="1" s="13">
      <c r="A122" s="10" t="inlineStr">
        <is>
          <t>CHUTNI POLLY</t>
        </is>
      </c>
      <c r="AH122" s="6">
        <f>SUM(C122:AF122)</f>
        <v/>
      </c>
      <c r="AI122" s="9">
        <f>SUM(C122:AF122)*B122</f>
        <v/>
      </c>
    </row>
    <row r="123" ht="15.75" customHeight="1" s="13">
      <c r="A123" s="10" t="inlineStr">
        <is>
          <t>ONION POLLY</t>
        </is>
      </c>
      <c r="AI123" s="9">
        <f>SUM(C123:AF123)*B123</f>
        <v/>
      </c>
    </row>
    <row r="124" ht="15.75" customHeight="1" s="13">
      <c r="A124" s="10" t="inlineStr">
        <is>
          <t>TISSUE</t>
        </is>
      </c>
      <c r="AI124" s="9">
        <f>SUM(C124:AF124)*B124</f>
        <v/>
      </c>
    </row>
    <row r="125" ht="15.75" customHeight="1" s="13">
      <c r="A125" s="11" t="inlineStr">
        <is>
          <t>S CON SMALL</t>
        </is>
      </c>
      <c r="AI125" s="9">
        <f>SUM(C125:AF125)*B125</f>
        <v/>
      </c>
    </row>
    <row r="126" ht="15.75" customHeight="1" s="13">
      <c r="A126" s="11" t="inlineStr">
        <is>
          <t>S CON BIG</t>
        </is>
      </c>
      <c r="B126" s="10" t="n">
        <v>250</v>
      </c>
      <c r="E126" s="10" t="n">
        <v>1</v>
      </c>
      <c r="M126" s="10" t="n">
        <v>2</v>
      </c>
      <c r="AI126" s="9">
        <f>SUM(C126:AF126)*B126</f>
        <v/>
      </c>
    </row>
    <row r="127" ht="15.75" customHeight="1" s="13">
      <c r="A127" s="11" t="inlineStr">
        <is>
          <t xml:space="preserve">750 ML PASTA </t>
        </is>
      </c>
      <c r="B127" s="10" t="n">
        <v>428</v>
      </c>
      <c r="E127" s="10" t="n">
        <v>2</v>
      </c>
      <c r="G127" s="10" t="n">
        <v>1</v>
      </c>
      <c r="I127" s="10" t="n">
        <v>1</v>
      </c>
      <c r="L127" s="10" t="n">
        <v>1</v>
      </c>
      <c r="AI127" s="9">
        <f>SUM(C127:AF127)*B127</f>
        <v/>
      </c>
    </row>
    <row r="128" ht="15.75" customHeight="1" s="13">
      <c r="A128" s="11" t="inlineStr">
        <is>
          <t>300 ML CONT</t>
        </is>
      </c>
      <c r="B128" s="10" t="n">
        <v>249</v>
      </c>
      <c r="L128" s="10" t="n">
        <v>2</v>
      </c>
      <c r="AI128" s="9">
        <f>SUM(C128:AF128)*B128</f>
        <v/>
      </c>
    </row>
    <row r="129" ht="15.75" customHeight="1" s="13">
      <c r="A129" s="11" t="inlineStr">
        <is>
          <t>500 ML CONT</t>
        </is>
      </c>
      <c r="B129" s="10" t="n">
        <v>714</v>
      </c>
      <c r="E129" s="10" t="n">
        <v>1</v>
      </c>
      <c r="I129" s="10" t="n">
        <v>1</v>
      </c>
      <c r="AI129" s="9">
        <f>SUM(C129:AF129)*B129</f>
        <v/>
      </c>
    </row>
    <row r="130" ht="15.75" customHeight="1" s="13">
      <c r="A130" s="11" t="inlineStr">
        <is>
          <t>750 ML CONT</t>
        </is>
      </c>
      <c r="B130" s="10" t="n">
        <v>178</v>
      </c>
      <c r="E130" s="10" t="n">
        <v>2</v>
      </c>
      <c r="AI130" s="9">
        <f>SUM(C130:AF130)*B130</f>
        <v/>
      </c>
    </row>
    <row r="131" ht="15.75" customHeight="1" s="13">
      <c r="A131" s="11" t="inlineStr">
        <is>
          <t>CARRY BAG</t>
        </is>
      </c>
      <c r="B131" s="10" t="n">
        <v>250</v>
      </c>
      <c r="E131" s="10" t="n">
        <v>1</v>
      </c>
      <c r="AI131" s="9">
        <f>SUM(C131:AF131)*B131</f>
        <v/>
      </c>
    </row>
    <row r="132" ht="15.75" customHeight="1" s="13">
      <c r="A132" s="10" t="inlineStr">
        <is>
          <t>500ML PLASTIC</t>
        </is>
      </c>
      <c r="B132" s="10" t="n">
        <v>210</v>
      </c>
      <c r="M132" s="10" t="n">
        <v>1</v>
      </c>
      <c r="AI132" s="9">
        <f>SUM(C132:AF132)*B132</f>
        <v/>
      </c>
    </row>
    <row r="133" ht="15.75" customHeight="1" s="13"/>
    <row r="134" ht="15.75" customHeight="1" s="13"/>
    <row r="135" ht="15.75" customHeight="1" s="13"/>
    <row r="136" ht="15.75" customHeight="1" s="13">
      <c r="AI136" s="9">
        <f>SUM(AI119:AI134)</f>
        <v/>
      </c>
    </row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mergeCells count="5">
    <mergeCell ref="A1:AI1"/>
    <mergeCell ref="A56:AI56"/>
    <mergeCell ref="A106:AI106"/>
    <mergeCell ref="A39:AI39"/>
    <mergeCell ref="A25:AI2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F136"/>
  <sheetViews>
    <sheetView workbookViewId="0">
      <pane ySplit="12" topLeftCell="A13" activePane="bottomLeft" state="frozen"/>
      <selection pane="bottomLeft" activeCell="A1" sqref="A1"/>
    </sheetView>
  </sheetViews>
  <sheetFormatPr baseColWidth="8" defaultColWidth="14.43" defaultRowHeight="15" customHeight="1"/>
  <cols>
    <col width="5" customWidth="1" style="13" min="1" max="26"/>
    <col width="26" customWidth="1" style="13" min="2" max="2"/>
    <col width="14" customWidth="1" style="13" min="3" max="3"/>
    <col width="12" customWidth="1" style="13" min="4" max="4"/>
    <col width="17" customWidth="1" style="13" min="5" max="5"/>
    <col width="11" customWidth="1" style="13" min="6" max="6"/>
  </cols>
  <sheetData>
    <row r="1" ht="42" customHeight="1" s="13">
      <c r="A1" s="15" t="inlineStr">
        <is>
          <t xml:space="preserve">  RDC STOCK MANAGEMENT DASHBOARD</t>
        </is>
      </c>
    </row>
    <row r="2" ht="22" customHeight="1" s="13">
      <c r="A2" s="16" t="inlineStr">
        <is>
          <t xml:space="preserve">  Month: June 2026     Period: 01 Jun – 30 Jun 2026</t>
        </is>
      </c>
      <c r="E2" s="17" t="inlineStr">
        <is>
          <t xml:space="preserve">Updated: 10-Jun-2026  </t>
        </is>
      </c>
    </row>
    <row r="3" ht="5" customHeight="1" s="13">
      <c r="A3" s="18" t="n"/>
      <c r="B3" s="18" t="n"/>
      <c r="C3" s="18" t="n"/>
      <c r="D3" s="18" t="n"/>
      <c r="E3" s="18" t="n"/>
      <c r="F3" s="18" t="n"/>
    </row>
    <row r="4" ht="24" customHeight="1" s="13">
      <c r="A4" s="19" t="inlineStr">
        <is>
          <t xml:space="preserve">  MONTHLY EXPENSE SUMMARY</t>
        </is>
      </c>
    </row>
    <row r="5" ht="18" customHeight="1" s="13">
      <c r="A5" s="20" t="inlineStr">
        <is>
          <t>#</t>
        </is>
      </c>
      <c r="B5" s="20" t="inlineStr">
        <is>
          <t>CATEGORY</t>
        </is>
      </c>
      <c r="C5" s="20" t="inlineStr">
        <is>
          <t>TOTAL AMOUNT (Rs.)</t>
        </is>
      </c>
      <c r="D5" s="20" t="inlineStr">
        <is>
          <t>% OF TOTAL</t>
        </is>
      </c>
      <c r="E5" s="20" t="inlineStr"/>
      <c r="F5" s="20" t="inlineStr"/>
    </row>
    <row r="6" ht="22" customHeight="1" s="13">
      <c r="A6" s="21" t="n">
        <v>1</v>
      </c>
      <c r="B6" s="22" t="inlineStr">
        <is>
          <t>VEGETABLES</t>
        </is>
      </c>
      <c r="C6" s="23">
        <f>Sheet1!AI20</f>
        <v/>
      </c>
      <c r="D6" s="24">
        <f>IFERROR(E6/=SUM(E6:E10)*100,0)</f>
        <v/>
      </c>
      <c r="E6" s="25" t="n"/>
    </row>
    <row r="7" ht="22" customHeight="1" s="13">
      <c r="A7" s="26" t="n">
        <v>2</v>
      </c>
      <c r="B7" s="27" t="inlineStr">
        <is>
          <t>CHICKEN (Raw)</t>
        </is>
      </c>
      <c r="C7" s="28">
        <f>Sheet1!AI34</f>
        <v/>
      </c>
      <c r="D7" s="29">
        <f>IFERROR(E7/=SUM(E6:E10)*100,0)</f>
        <v/>
      </c>
      <c r="E7" s="30" t="n"/>
    </row>
    <row r="8" ht="22" customHeight="1" s="13">
      <c r="A8" s="31" t="n">
        <v>3</v>
      </c>
      <c r="B8" s="32" t="inlineStr">
        <is>
          <t>PANEER &amp; DAIRY</t>
        </is>
      </c>
      <c r="C8" s="33">
        <f>Sheet1!AI50</f>
        <v/>
      </c>
      <c r="D8" s="34">
        <f>IFERROR(E8/=SUM(E6:E10)*100,0)</f>
        <v/>
      </c>
      <c r="E8" s="35" t="n"/>
    </row>
    <row r="9" ht="22" customHeight="1" s="13">
      <c r="A9" s="36" t="n">
        <v>4</v>
      </c>
      <c r="B9" s="37" t="inlineStr">
        <is>
          <t>RASHAN</t>
        </is>
      </c>
      <c r="C9" s="38">
        <f>Sheet1!AI104</f>
        <v/>
      </c>
      <c r="D9" s="39">
        <f>IFERROR(E9/=SUM(E6:E10)*100,0)</f>
        <v/>
      </c>
      <c r="E9" s="40" t="n"/>
    </row>
    <row r="10" ht="22" customHeight="1" s="13">
      <c r="A10" s="41" t="n">
        <v>5</v>
      </c>
      <c r="B10" s="42" t="inlineStr">
        <is>
          <t>DISPOSAL</t>
        </is>
      </c>
      <c r="C10" s="43">
        <f>Sheet1!AI136</f>
        <v/>
      </c>
      <c r="D10" s="44">
        <f>IFERROR(E10/=SUM(E6:E10)*100,0)</f>
        <v/>
      </c>
      <c r="E10" s="45" t="n"/>
    </row>
    <row r="11" ht="26" customHeight="1" s="13">
      <c r="A11" s="46" t="inlineStr"/>
      <c r="B11" s="47" t="inlineStr">
        <is>
          <t>GRAND TOTAL</t>
        </is>
      </c>
      <c r="C11" s="48">
        <f>SUM(E6:E10)</f>
        <v/>
      </c>
      <c r="D11" s="49" t="inlineStr">
        <is>
          <t>100.0%</t>
        </is>
      </c>
      <c r="E11" s="50" t="n"/>
    </row>
    <row r="12" ht="10" customHeight="1" s="13"/>
    <row r="13" ht="26" customHeight="1" s="13">
      <c r="A13" s="51" t="inlineStr">
        <is>
          <t xml:space="preserve">  VEGETABLES</t>
        </is>
      </c>
    </row>
    <row r="14" ht="18" customHeight="1" s="13">
      <c r="A14" s="52" t="inlineStr">
        <is>
          <t>#</t>
        </is>
      </c>
      <c r="B14" s="52" t="inlineStr">
        <is>
          <t>ITEM NAME</t>
        </is>
      </c>
      <c r="C14" s="52" t="inlineStr">
        <is>
          <t>RATE / KG (Rs.)</t>
        </is>
      </c>
      <c r="D14" s="52" t="inlineStr">
        <is>
          <t>TOTAL QTY (KG/Unit)</t>
        </is>
      </c>
      <c r="E14" s="52" t="inlineStr">
        <is>
          <t>TOTAL AMOUNT (Rs.)</t>
        </is>
      </c>
      <c r="F14" s="52" t="inlineStr">
        <is>
          <t>% SHARE</t>
        </is>
      </c>
    </row>
    <row r="15" ht="17" customHeight="1" s="13">
      <c r="A15" s="53" t="n">
        <v>1</v>
      </c>
      <c r="B15" s="54">
        <f>Sheet1!A3</f>
        <v/>
      </c>
      <c r="C15" s="55">
        <f>IF(ISNUMBER(Sheet1!B3),Sheet1!B3,"")</f>
        <v/>
      </c>
      <c r="D15" s="55">
        <f>IF(ISNUMBER(Sheet1!AH3),Sheet1!AH3,"")</f>
        <v/>
      </c>
      <c r="E15" s="56">
        <f>IF(ISNUMBER(Sheet1!AI3),Sheet1!AI3,"")</f>
        <v/>
      </c>
      <c r="F15" s="57">
        <f>IFERROR(IF(ISNUMBER(Sheet1!AI3),Sheet1!AI3,0)/Sheet1!AI20*100,0)</f>
        <v/>
      </c>
    </row>
    <row r="16" ht="17" customHeight="1" s="13">
      <c r="A16" s="58" t="n">
        <v>2</v>
      </c>
      <c r="B16" s="59">
        <f>Sheet1!A4</f>
        <v/>
      </c>
      <c r="C16" s="60">
        <f>IF(ISNUMBER(Sheet1!B4),Sheet1!B4,"")</f>
        <v/>
      </c>
      <c r="D16" s="60">
        <f>IF(ISNUMBER(Sheet1!AH4),Sheet1!AH4,"")</f>
        <v/>
      </c>
      <c r="E16" s="61">
        <f>IF(ISNUMBER(Sheet1!AI4),Sheet1!AI4,"")</f>
        <v/>
      </c>
      <c r="F16" s="62">
        <f>IFERROR(IF(ISNUMBER(Sheet1!AI4),Sheet1!AI4,0)/Sheet1!AI20*100,0)</f>
        <v/>
      </c>
    </row>
    <row r="17" ht="17" customHeight="1" s="13">
      <c r="A17" s="53" t="n">
        <v>3</v>
      </c>
      <c r="B17" s="54">
        <f>Sheet1!A5</f>
        <v/>
      </c>
      <c r="C17" s="55">
        <f>IF(ISNUMBER(Sheet1!B5),Sheet1!B5,"")</f>
        <v/>
      </c>
      <c r="D17" s="55">
        <f>IF(ISNUMBER(Sheet1!AH5),Sheet1!AH5,"")</f>
        <v/>
      </c>
      <c r="E17" s="56">
        <f>IF(ISNUMBER(Sheet1!AI5),Sheet1!AI5,"")</f>
        <v/>
      </c>
      <c r="F17" s="57">
        <f>IFERROR(IF(ISNUMBER(Sheet1!AI5),Sheet1!AI5,0)/Sheet1!AI20*100,0)</f>
        <v/>
      </c>
    </row>
    <row r="18" ht="17" customHeight="1" s="13">
      <c r="A18" s="58" t="n">
        <v>4</v>
      </c>
      <c r="B18" s="59">
        <f>Sheet1!A6</f>
        <v/>
      </c>
      <c r="C18" s="60">
        <f>IF(ISNUMBER(Sheet1!B6),Sheet1!B6,"")</f>
        <v/>
      </c>
      <c r="D18" s="60">
        <f>IF(ISNUMBER(Sheet1!AH6),Sheet1!AH6,"")</f>
        <v/>
      </c>
      <c r="E18" s="61">
        <f>IF(ISNUMBER(Sheet1!AI6),Sheet1!AI6,"")</f>
        <v/>
      </c>
      <c r="F18" s="62">
        <f>IFERROR(IF(ISNUMBER(Sheet1!AI6),Sheet1!AI6,0)/Sheet1!AI20*100,0)</f>
        <v/>
      </c>
    </row>
    <row r="19" ht="17" customHeight="1" s="13">
      <c r="A19" s="53" t="n">
        <v>5</v>
      </c>
      <c r="B19" s="54">
        <f>Sheet1!A7</f>
        <v/>
      </c>
      <c r="C19" s="55">
        <f>IF(ISNUMBER(Sheet1!B7),Sheet1!B7,"")</f>
        <v/>
      </c>
      <c r="D19" s="55">
        <f>IF(ISNUMBER(Sheet1!AH7),Sheet1!AH7,"")</f>
        <v/>
      </c>
      <c r="E19" s="56">
        <f>IF(ISNUMBER(Sheet1!AI7),Sheet1!AI7,"")</f>
        <v/>
      </c>
      <c r="F19" s="57">
        <f>IFERROR(IF(ISNUMBER(Sheet1!AI7),Sheet1!AI7,0)/Sheet1!AI20*100,0)</f>
        <v/>
      </c>
    </row>
    <row r="20" ht="17" customHeight="1" s="13">
      <c r="A20" s="58" t="n">
        <v>6</v>
      </c>
      <c r="B20" s="59">
        <f>Sheet1!A8</f>
        <v/>
      </c>
      <c r="C20" s="60">
        <f>IF(ISNUMBER(Sheet1!B8),Sheet1!B8,"")</f>
        <v/>
      </c>
      <c r="D20" s="60">
        <f>IF(ISNUMBER(Sheet1!AH8),Sheet1!AH8,"")</f>
        <v/>
      </c>
      <c r="E20" s="61">
        <f>IF(ISNUMBER(Sheet1!AI8),Sheet1!AI8,"")</f>
        <v/>
      </c>
      <c r="F20" s="62">
        <f>IFERROR(IF(ISNUMBER(Sheet1!AI8),Sheet1!AI8,0)/Sheet1!AI20*100,0)</f>
        <v/>
      </c>
    </row>
    <row r="21" ht="17" customHeight="1" s="13">
      <c r="A21" s="53" t="n">
        <v>7</v>
      </c>
      <c r="B21" s="54">
        <f>Sheet1!A9</f>
        <v/>
      </c>
      <c r="C21" s="55">
        <f>IF(ISNUMBER(Sheet1!B9),Sheet1!B9,"")</f>
        <v/>
      </c>
      <c r="D21" s="55">
        <f>IF(ISNUMBER(Sheet1!AH9),Sheet1!AH9,"")</f>
        <v/>
      </c>
      <c r="E21" s="56">
        <f>IF(ISNUMBER(Sheet1!AI9),Sheet1!AI9,"")</f>
        <v/>
      </c>
      <c r="F21" s="57">
        <f>IFERROR(IF(ISNUMBER(Sheet1!AI9),Sheet1!AI9,0)/Sheet1!AI20*100,0)</f>
        <v/>
      </c>
    </row>
    <row r="22" ht="17" customHeight="1" s="13">
      <c r="A22" s="58" t="n">
        <v>8</v>
      </c>
      <c r="B22" s="59">
        <f>Sheet1!A10</f>
        <v/>
      </c>
      <c r="C22" s="60">
        <f>IF(ISNUMBER(Sheet1!B10),Sheet1!B10,"")</f>
        <v/>
      </c>
      <c r="D22" s="60">
        <f>IF(ISNUMBER(Sheet1!AH10),Sheet1!AH10,"")</f>
        <v/>
      </c>
      <c r="E22" s="61">
        <f>IF(ISNUMBER(Sheet1!AI10),Sheet1!AI10,"")</f>
        <v/>
      </c>
      <c r="F22" s="62">
        <f>IFERROR(IF(ISNUMBER(Sheet1!AI10),Sheet1!AI10,0)/Sheet1!AI20*100,0)</f>
        <v/>
      </c>
    </row>
    <row r="23" ht="17" customHeight="1" s="13">
      <c r="A23" s="53" t="n">
        <v>9</v>
      </c>
      <c r="B23" s="54">
        <f>Sheet1!A11</f>
        <v/>
      </c>
      <c r="C23" s="55">
        <f>IF(ISNUMBER(Sheet1!B11),Sheet1!B11,"")</f>
        <v/>
      </c>
      <c r="D23" s="55">
        <f>IF(ISNUMBER(Sheet1!AH11),Sheet1!AH11,"")</f>
        <v/>
      </c>
      <c r="E23" s="56">
        <f>IF(ISNUMBER(Sheet1!AI11),Sheet1!AI11,"")</f>
        <v/>
      </c>
      <c r="F23" s="57">
        <f>IFERROR(IF(ISNUMBER(Sheet1!AI11),Sheet1!AI11,0)/Sheet1!AI20*100,0)</f>
        <v/>
      </c>
    </row>
    <row r="24" ht="17" customHeight="1" s="13">
      <c r="A24" s="58" t="n">
        <v>10</v>
      </c>
      <c r="B24" s="59">
        <f>Sheet1!A12</f>
        <v/>
      </c>
      <c r="C24" s="60">
        <f>IF(ISNUMBER(Sheet1!B12),Sheet1!B12,"")</f>
        <v/>
      </c>
      <c r="D24" s="60">
        <f>IF(ISNUMBER(Sheet1!AH12),Sheet1!AH12,"")</f>
        <v/>
      </c>
      <c r="E24" s="61">
        <f>IF(ISNUMBER(Sheet1!AI12),Sheet1!AI12,"")</f>
        <v/>
      </c>
      <c r="F24" s="62">
        <f>IFERROR(IF(ISNUMBER(Sheet1!AI12),Sheet1!AI12,0)/Sheet1!AI20*100,0)</f>
        <v/>
      </c>
    </row>
    <row r="25" ht="17" customHeight="1" s="13">
      <c r="A25" s="53" t="n">
        <v>11</v>
      </c>
      <c r="B25" s="54">
        <f>Sheet1!A13</f>
        <v/>
      </c>
      <c r="C25" s="55">
        <f>IF(ISNUMBER(Sheet1!B13),Sheet1!B13,"")</f>
        <v/>
      </c>
      <c r="D25" s="55">
        <f>IF(ISNUMBER(Sheet1!AH13),Sheet1!AH13,"")</f>
        <v/>
      </c>
      <c r="E25" s="56">
        <f>IF(ISNUMBER(Sheet1!AI13),Sheet1!AI13,"")</f>
        <v/>
      </c>
      <c r="F25" s="57">
        <f>IFERROR(IF(ISNUMBER(Sheet1!AI13),Sheet1!AI13,0)/Sheet1!AI20*100,0)</f>
        <v/>
      </c>
    </row>
    <row r="26" ht="17" customHeight="1" s="13">
      <c r="A26" s="58" t="n">
        <v>12</v>
      </c>
      <c r="B26" s="59">
        <f>Sheet1!A14</f>
        <v/>
      </c>
      <c r="C26" s="60">
        <f>IF(ISNUMBER(Sheet1!B14),Sheet1!B14,"")</f>
        <v/>
      </c>
      <c r="D26" s="60">
        <f>IF(ISNUMBER(Sheet1!AH14),Sheet1!AH14,"")</f>
        <v/>
      </c>
      <c r="E26" s="61">
        <f>IF(ISNUMBER(Sheet1!AI14),Sheet1!AI14,"")</f>
        <v/>
      </c>
      <c r="F26" s="62">
        <f>IFERROR(IF(ISNUMBER(Sheet1!AI14),Sheet1!AI14,0)/Sheet1!AI20*100,0)</f>
        <v/>
      </c>
    </row>
    <row r="27" ht="17" customHeight="1" s="13">
      <c r="A27" s="53" t="n">
        <v>13</v>
      </c>
      <c r="B27" s="54">
        <f>Sheet1!A15</f>
        <v/>
      </c>
      <c r="C27" s="55">
        <f>IF(ISNUMBER(Sheet1!B15),Sheet1!B15,"")</f>
        <v/>
      </c>
      <c r="D27" s="55">
        <f>IF(ISNUMBER(Sheet1!AH15),Sheet1!AH15,"")</f>
        <v/>
      </c>
      <c r="E27" s="56">
        <f>IF(ISNUMBER(Sheet1!AI15),Sheet1!AI15,"")</f>
        <v/>
      </c>
      <c r="F27" s="57">
        <f>IFERROR(IF(ISNUMBER(Sheet1!AI15),Sheet1!AI15,0)/Sheet1!AI20*100,0)</f>
        <v/>
      </c>
    </row>
    <row r="28" ht="17" customHeight="1" s="13">
      <c r="A28" s="58" t="n">
        <v>14</v>
      </c>
      <c r="B28" s="59">
        <f>Sheet1!A16</f>
        <v/>
      </c>
      <c r="C28" s="60">
        <f>IF(ISNUMBER(Sheet1!B16),Sheet1!B16,"")</f>
        <v/>
      </c>
      <c r="D28" s="60">
        <f>IF(ISNUMBER(Sheet1!AH16),Sheet1!AH16,"")</f>
        <v/>
      </c>
      <c r="E28" s="61">
        <f>IF(ISNUMBER(Sheet1!AI16),Sheet1!AI16,"")</f>
        <v/>
      </c>
      <c r="F28" s="62">
        <f>IFERROR(IF(ISNUMBER(Sheet1!AI16),Sheet1!AI16,0)/Sheet1!AI20*100,0)</f>
        <v/>
      </c>
    </row>
    <row r="29" ht="17" customHeight="1" s="13">
      <c r="A29" s="53" t="n">
        <v>15</v>
      </c>
      <c r="B29" s="54">
        <f>Sheet1!A17</f>
        <v/>
      </c>
      <c r="C29" s="55">
        <f>IF(ISNUMBER(Sheet1!B17),Sheet1!B17,"")</f>
        <v/>
      </c>
      <c r="D29" s="55">
        <f>IF(ISNUMBER(Sheet1!AH17),Sheet1!AH17,"")</f>
        <v/>
      </c>
      <c r="E29" s="56">
        <f>IF(ISNUMBER(Sheet1!AI17),Sheet1!AI17,"")</f>
        <v/>
      </c>
      <c r="F29" s="57">
        <f>IFERROR(IF(ISNUMBER(Sheet1!AI17),Sheet1!AI17,0)/Sheet1!AI20*100,0)</f>
        <v/>
      </c>
    </row>
    <row r="30" ht="17" customHeight="1" s="13">
      <c r="A30" s="58" t="n">
        <v>16</v>
      </c>
      <c r="B30" s="59">
        <f>Sheet1!A18</f>
        <v/>
      </c>
      <c r="C30" s="60">
        <f>IF(ISNUMBER(Sheet1!B18),Sheet1!B18,"")</f>
        <v/>
      </c>
      <c r="D30" s="60">
        <f>IF(ISNUMBER(Sheet1!AH18),Sheet1!AH18,"")</f>
        <v/>
      </c>
      <c r="E30" s="61">
        <f>IF(ISNUMBER(Sheet1!AI18),Sheet1!AI18,"")</f>
        <v/>
      </c>
      <c r="F30" s="62">
        <f>IFERROR(IF(ISNUMBER(Sheet1!AI18),Sheet1!AI18,0)/Sheet1!AI20*100,0)</f>
        <v/>
      </c>
    </row>
    <row r="31" ht="22" customHeight="1" s="13">
      <c r="A31" s="63" t="inlineStr"/>
      <c r="B31" s="64" t="inlineStr">
        <is>
          <t>SECTION TOTAL</t>
        </is>
      </c>
      <c r="C31" s="63" t="inlineStr"/>
      <c r="D31" s="63" t="inlineStr"/>
      <c r="E31" s="65">
        <f>Sheet1!AI20</f>
        <v/>
      </c>
      <c r="F31" s="66" t="inlineStr">
        <is>
          <t>100.0%</t>
        </is>
      </c>
    </row>
    <row r="32" ht="8" customHeight="1" s="13"/>
    <row r="33" ht="26" customHeight="1" s="13">
      <c r="A33" s="67" t="inlineStr">
        <is>
          <t xml:space="preserve">  CHICKEN  (Raw)</t>
        </is>
      </c>
    </row>
    <row r="34" ht="18" customHeight="1" s="13">
      <c r="A34" s="68" t="inlineStr">
        <is>
          <t>#</t>
        </is>
      </c>
      <c r="B34" s="68" t="inlineStr">
        <is>
          <t>ITEM NAME</t>
        </is>
      </c>
      <c r="C34" s="68" t="inlineStr">
        <is>
          <t>RATE / KG (Rs.)</t>
        </is>
      </c>
      <c r="D34" s="68" t="inlineStr">
        <is>
          <t>TOTAL QTY (KG/Unit)</t>
        </is>
      </c>
      <c r="E34" s="68" t="inlineStr">
        <is>
          <t>TOTAL AMOUNT (Rs.)</t>
        </is>
      </c>
      <c r="F34" s="68" t="inlineStr">
        <is>
          <t>% SHARE</t>
        </is>
      </c>
    </row>
    <row r="35" ht="17" customHeight="1" s="13">
      <c r="A35" s="69" t="n">
        <v>1</v>
      </c>
      <c r="B35" s="70">
        <f>Sheet1!A28</f>
        <v/>
      </c>
      <c r="C35" s="71">
        <f>IF(ISNUMBER(Sheet1!B28),Sheet1!B28,"")</f>
        <v/>
      </c>
      <c r="D35" s="71">
        <f>IF(ISNUMBER(Sheet1!AH28),Sheet1!AH28,"")</f>
        <v/>
      </c>
      <c r="E35" s="72">
        <f>IF(ISNUMBER(Sheet1!AI28),Sheet1!AI28,"")</f>
        <v/>
      </c>
      <c r="F35" s="73">
        <f>IFERROR(IF(ISNUMBER(Sheet1!AI28),Sheet1!AI28,0)/Sheet1!AI34*100,0)</f>
        <v/>
      </c>
    </row>
    <row r="36" ht="17" customHeight="1" s="13">
      <c r="A36" s="74" t="n">
        <v>2</v>
      </c>
      <c r="B36" s="59">
        <f>Sheet1!A29</f>
        <v/>
      </c>
      <c r="C36" s="60">
        <f>IF(ISNUMBER(Sheet1!B29),Sheet1!B29,"")</f>
        <v/>
      </c>
      <c r="D36" s="60">
        <f>IF(ISNUMBER(Sheet1!AH29),Sheet1!AH29,"")</f>
        <v/>
      </c>
      <c r="E36" s="61">
        <f>IF(ISNUMBER(Sheet1!AI29),Sheet1!AI29,"")</f>
        <v/>
      </c>
      <c r="F36" s="75">
        <f>IFERROR(IF(ISNUMBER(Sheet1!AI29),Sheet1!AI29,0)/Sheet1!AI34*100,0)</f>
        <v/>
      </c>
    </row>
    <row r="37" ht="17" customHeight="1" s="13">
      <c r="A37" s="69" t="n">
        <v>3</v>
      </c>
      <c r="B37" s="70">
        <f>Sheet1!A30</f>
        <v/>
      </c>
      <c r="C37" s="71">
        <f>IF(ISNUMBER(Sheet1!B30),Sheet1!B30,"")</f>
        <v/>
      </c>
      <c r="D37" s="71">
        <f>IF(ISNUMBER(Sheet1!AH30),Sheet1!AH30,"")</f>
        <v/>
      </c>
      <c r="E37" s="72">
        <f>IF(ISNUMBER(Sheet1!AI30),Sheet1!AI30,"")</f>
        <v/>
      </c>
      <c r="F37" s="73">
        <f>IFERROR(IF(ISNUMBER(Sheet1!AI30),Sheet1!AI30,0)/Sheet1!AI34*100,0)</f>
        <v/>
      </c>
    </row>
    <row r="38" ht="17" customHeight="1" s="13">
      <c r="A38" s="74" t="n">
        <v>4</v>
      </c>
      <c r="B38" s="59">
        <f>Sheet1!A31</f>
        <v/>
      </c>
      <c r="C38" s="60">
        <f>IF(ISNUMBER(Sheet1!B31),Sheet1!B31,"")</f>
        <v/>
      </c>
      <c r="D38" s="60">
        <f>IF(ISNUMBER(Sheet1!AH31),Sheet1!AH31,"")</f>
        <v/>
      </c>
      <c r="E38" s="61">
        <f>IF(ISNUMBER(Sheet1!AI31),Sheet1!AI31,"")</f>
        <v/>
      </c>
      <c r="F38" s="75">
        <f>IFERROR(IF(ISNUMBER(Sheet1!AI31),Sheet1!AI31,0)/Sheet1!AI34*100,0)</f>
        <v/>
      </c>
    </row>
    <row r="39" ht="22" customHeight="1" s="13">
      <c r="A39" s="76" t="inlineStr"/>
      <c r="B39" s="77" t="inlineStr">
        <is>
          <t>SECTION TOTAL</t>
        </is>
      </c>
      <c r="C39" s="76" t="inlineStr"/>
      <c r="D39" s="76" t="inlineStr"/>
      <c r="E39" s="78">
        <f>Sheet1!AI34</f>
        <v/>
      </c>
      <c r="F39" s="79" t="inlineStr">
        <is>
          <t>100.0%</t>
        </is>
      </c>
    </row>
    <row r="40" ht="8" customHeight="1" s="13"/>
    <row r="41" ht="26" customHeight="1" s="13">
      <c r="A41" s="80" t="inlineStr">
        <is>
          <t xml:space="preserve">  PANEER &amp; DAIRY</t>
        </is>
      </c>
    </row>
    <row r="42" ht="18" customHeight="1" s="13">
      <c r="A42" s="81" t="inlineStr">
        <is>
          <t>#</t>
        </is>
      </c>
      <c r="B42" s="81" t="inlineStr">
        <is>
          <t>ITEM NAME</t>
        </is>
      </c>
      <c r="C42" s="81" t="inlineStr">
        <is>
          <t>RATE / KG (Rs.)</t>
        </is>
      </c>
      <c r="D42" s="81" t="inlineStr">
        <is>
          <t>TOTAL QTY (KG/Unit)</t>
        </is>
      </c>
      <c r="E42" s="81" t="inlineStr">
        <is>
          <t>TOTAL AMOUNT (Rs.)</t>
        </is>
      </c>
      <c r="F42" s="81" t="inlineStr">
        <is>
          <t>% SHARE</t>
        </is>
      </c>
    </row>
    <row r="43" ht="17" customHeight="1" s="13">
      <c r="A43" s="82" t="n">
        <v>1</v>
      </c>
      <c r="B43" s="83">
        <f>Sheet1!A42</f>
        <v/>
      </c>
      <c r="C43" s="84">
        <f>IF(ISNUMBER(Sheet1!B42),Sheet1!B42,"")</f>
        <v/>
      </c>
      <c r="D43" s="84">
        <f>IF(ISNUMBER(Sheet1!AH42),Sheet1!AH42,"")</f>
        <v/>
      </c>
      <c r="E43" s="85">
        <f>IF(ISNUMBER(Sheet1!AI42),Sheet1!AI42,"")</f>
        <v/>
      </c>
      <c r="F43" s="86">
        <f>IFERROR(IF(ISNUMBER(Sheet1!AI42),Sheet1!AI42,0)/Sheet1!AI50*100,0)</f>
        <v/>
      </c>
    </row>
    <row r="44" ht="17" customHeight="1" s="13">
      <c r="A44" s="87" t="n">
        <v>2</v>
      </c>
      <c r="B44" s="59">
        <f>Sheet1!A43</f>
        <v/>
      </c>
      <c r="C44" s="60">
        <f>IF(ISNUMBER(Sheet1!B43),Sheet1!B43,"")</f>
        <v/>
      </c>
      <c r="D44" s="60">
        <f>IF(ISNUMBER(Sheet1!AH43),Sheet1!AH43,"")</f>
        <v/>
      </c>
      <c r="E44" s="61">
        <f>IF(ISNUMBER(Sheet1!AI43),Sheet1!AI43,"")</f>
        <v/>
      </c>
      <c r="F44" s="88">
        <f>IFERROR(IF(ISNUMBER(Sheet1!AI43),Sheet1!AI43,0)/Sheet1!AI50*100,0)</f>
        <v/>
      </c>
    </row>
    <row r="45" ht="17" customHeight="1" s="13">
      <c r="A45" s="82" t="n">
        <v>3</v>
      </c>
      <c r="B45" s="83">
        <f>Sheet1!A44</f>
        <v/>
      </c>
      <c r="C45" s="84">
        <f>IF(ISNUMBER(Sheet1!B44),Sheet1!B44,"")</f>
        <v/>
      </c>
      <c r="D45" s="84">
        <f>IF(ISNUMBER(Sheet1!AH44),Sheet1!AH44,"")</f>
        <v/>
      </c>
      <c r="E45" s="85">
        <f>IF(ISNUMBER(Sheet1!AI44),Sheet1!AI44,"")</f>
        <v/>
      </c>
      <c r="F45" s="86">
        <f>IFERROR(IF(ISNUMBER(Sheet1!AI44),Sheet1!AI44,0)/Sheet1!AI50*100,0)</f>
        <v/>
      </c>
    </row>
    <row r="46" ht="17" customHeight="1" s="13">
      <c r="A46" s="87" t="n">
        <v>4</v>
      </c>
      <c r="B46" s="59">
        <f>Sheet1!A45</f>
        <v/>
      </c>
      <c r="C46" s="60">
        <f>IF(ISNUMBER(Sheet1!B45),Sheet1!B45,"")</f>
        <v/>
      </c>
      <c r="D46" s="60">
        <f>IF(ISNUMBER(Sheet1!AH45),Sheet1!AH45,"")</f>
        <v/>
      </c>
      <c r="E46" s="61">
        <f>IF(ISNUMBER(Sheet1!AI45),Sheet1!AI45,"")</f>
        <v/>
      </c>
      <c r="F46" s="88">
        <f>IFERROR(IF(ISNUMBER(Sheet1!AI45),Sheet1!AI45,0)/Sheet1!AI50*100,0)</f>
        <v/>
      </c>
    </row>
    <row r="47" ht="17" customHeight="1" s="13">
      <c r="A47" s="82" t="n">
        <v>5</v>
      </c>
      <c r="B47" s="83">
        <f>Sheet1!A46</f>
        <v/>
      </c>
      <c r="C47" s="84">
        <f>IF(ISNUMBER(Sheet1!B46),Sheet1!B46,"")</f>
        <v/>
      </c>
      <c r="D47" s="84">
        <f>IF(ISNUMBER(Sheet1!AH46),Sheet1!AH46,"")</f>
        <v/>
      </c>
      <c r="E47" s="85">
        <f>IF(ISNUMBER(Sheet1!AI46),Sheet1!AI46,"")</f>
        <v/>
      </c>
      <c r="F47" s="86">
        <f>IFERROR(IF(ISNUMBER(Sheet1!AI46),Sheet1!AI46,0)/Sheet1!AI50*100,0)</f>
        <v/>
      </c>
    </row>
    <row r="48" ht="17" customHeight="1" s="13">
      <c r="A48" s="87" t="n">
        <v>6</v>
      </c>
      <c r="B48" s="59">
        <f>Sheet1!A47</f>
        <v/>
      </c>
      <c r="C48" s="60">
        <f>IF(ISNUMBER(Sheet1!B47),Sheet1!B47,"")</f>
        <v/>
      </c>
      <c r="D48" s="60">
        <f>IF(ISNUMBER(Sheet1!AH47),Sheet1!AH47,"")</f>
        <v/>
      </c>
      <c r="E48" s="61">
        <f>IF(ISNUMBER(Sheet1!AI47),Sheet1!AI47,"")</f>
        <v/>
      </c>
      <c r="F48" s="88">
        <f>IFERROR(IF(ISNUMBER(Sheet1!AI47),Sheet1!AI47,0)/Sheet1!AI50*100,0)</f>
        <v/>
      </c>
    </row>
    <row r="49" ht="17" customHeight="1" s="13">
      <c r="A49" s="82" t="n">
        <v>7</v>
      </c>
      <c r="B49" s="83">
        <f>Sheet1!A48</f>
        <v/>
      </c>
      <c r="C49" s="84">
        <f>IF(ISNUMBER(Sheet1!B48),Sheet1!B48,"")</f>
        <v/>
      </c>
      <c r="D49" s="84">
        <f>IF(ISNUMBER(Sheet1!AH48),Sheet1!AH48,"")</f>
        <v/>
      </c>
      <c r="E49" s="85">
        <f>IF(ISNUMBER(Sheet1!AI48),Sheet1!AI48,"")</f>
        <v/>
      </c>
      <c r="F49" s="86">
        <f>IFERROR(IF(ISNUMBER(Sheet1!AI48),Sheet1!AI48,0)/Sheet1!AI50*100,0)</f>
        <v/>
      </c>
    </row>
    <row r="50" ht="22" customHeight="1" s="13">
      <c r="A50" s="89" t="inlineStr"/>
      <c r="B50" s="90" t="inlineStr">
        <is>
          <t>SECTION TOTAL</t>
        </is>
      </c>
      <c r="C50" s="89" t="inlineStr"/>
      <c r="D50" s="89" t="inlineStr"/>
      <c r="E50" s="91">
        <f>Sheet1!AI50</f>
        <v/>
      </c>
      <c r="F50" s="92" t="inlineStr">
        <is>
          <t>100.0%</t>
        </is>
      </c>
    </row>
    <row r="51" ht="8" customHeight="1" s="13"/>
    <row r="52" ht="26" customHeight="1" s="13">
      <c r="A52" s="93" t="inlineStr">
        <is>
          <t xml:space="preserve">  RASHAN  (Dry Goods &amp; Kitchen Supplies)</t>
        </is>
      </c>
    </row>
    <row r="53" ht="18" customHeight="1" s="13">
      <c r="A53" s="94" t="inlineStr">
        <is>
          <t>#</t>
        </is>
      </c>
      <c r="B53" s="94" t="inlineStr">
        <is>
          <t>ITEM NAME</t>
        </is>
      </c>
      <c r="C53" s="94" t="inlineStr">
        <is>
          <t>RATE / KG (Rs.)</t>
        </is>
      </c>
      <c r="D53" s="94" t="inlineStr">
        <is>
          <t>TOTAL QTY (KG/Unit)</t>
        </is>
      </c>
      <c r="E53" s="94" t="inlineStr">
        <is>
          <t>TOTAL AMOUNT (Rs.)</t>
        </is>
      </c>
      <c r="F53" s="94" t="inlineStr">
        <is>
          <t>% SHARE</t>
        </is>
      </c>
    </row>
    <row r="54" ht="17" customHeight="1" s="13">
      <c r="A54" s="95" t="n">
        <v>1</v>
      </c>
      <c r="B54" s="96">
        <f>Sheet1!A58</f>
        <v/>
      </c>
      <c r="C54" s="97">
        <f>IF(ISNUMBER(Sheet1!B58),Sheet1!B58,"")</f>
        <v/>
      </c>
      <c r="D54" s="97">
        <f>IF(ISNUMBER(Sheet1!AH58),Sheet1!AH58,"")</f>
        <v/>
      </c>
      <c r="E54" s="98">
        <f>IF(ISNUMBER(Sheet1!AI58),Sheet1!AI58,"")</f>
        <v/>
      </c>
      <c r="F54" s="99">
        <f>IFERROR(IF(ISNUMBER(Sheet1!AI58),Sheet1!AI58,0)/Sheet1!AI104*100,0)</f>
        <v/>
      </c>
    </row>
    <row r="55" ht="17" customHeight="1" s="13">
      <c r="A55" s="100" t="n">
        <v>2</v>
      </c>
      <c r="B55" s="59">
        <f>Sheet1!A59</f>
        <v/>
      </c>
      <c r="C55" s="60">
        <f>IF(ISNUMBER(Sheet1!B59),Sheet1!B59,"")</f>
        <v/>
      </c>
      <c r="D55" s="60">
        <f>IF(ISNUMBER(Sheet1!AH59),Sheet1!AH59,"")</f>
        <v/>
      </c>
      <c r="E55" s="61">
        <f>IF(ISNUMBER(Sheet1!AI59),Sheet1!AI59,"")</f>
        <v/>
      </c>
      <c r="F55" s="101">
        <f>IFERROR(IF(ISNUMBER(Sheet1!AI59),Sheet1!AI59,0)/Sheet1!AI104*100,0)</f>
        <v/>
      </c>
    </row>
    <row r="56" ht="17" customHeight="1" s="13">
      <c r="A56" s="95" t="n">
        <v>3</v>
      </c>
      <c r="B56" s="96">
        <f>Sheet1!A60</f>
        <v/>
      </c>
      <c r="C56" s="97">
        <f>IF(ISNUMBER(Sheet1!B60),Sheet1!B60,"")</f>
        <v/>
      </c>
      <c r="D56" s="97">
        <f>IF(ISNUMBER(Sheet1!AH60),Sheet1!AH60,"")</f>
        <v/>
      </c>
      <c r="E56" s="98">
        <f>IF(ISNUMBER(Sheet1!AI60),Sheet1!AI60,"")</f>
        <v/>
      </c>
      <c r="F56" s="99">
        <f>IFERROR(IF(ISNUMBER(Sheet1!AI60),Sheet1!AI60,0)/Sheet1!AI104*100,0)</f>
        <v/>
      </c>
    </row>
    <row r="57" ht="17" customHeight="1" s="13">
      <c r="A57" s="100" t="n">
        <v>4</v>
      </c>
      <c r="B57" s="59">
        <f>Sheet1!A61</f>
        <v/>
      </c>
      <c r="C57" s="60">
        <f>IF(ISNUMBER(Sheet1!B61),Sheet1!B61,"")</f>
        <v/>
      </c>
      <c r="D57" s="60">
        <f>IF(ISNUMBER(Sheet1!AH61),Sheet1!AH61,"")</f>
        <v/>
      </c>
      <c r="E57" s="61">
        <f>IF(ISNUMBER(Sheet1!AI61),Sheet1!AI61,"")</f>
        <v/>
      </c>
      <c r="F57" s="101">
        <f>IFERROR(IF(ISNUMBER(Sheet1!AI61),Sheet1!AI61,0)/Sheet1!AI104*100,0)</f>
        <v/>
      </c>
    </row>
    <row r="58" ht="17" customHeight="1" s="13">
      <c r="A58" s="95" t="n">
        <v>5</v>
      </c>
      <c r="B58" s="96">
        <f>Sheet1!A62</f>
        <v/>
      </c>
      <c r="C58" s="97">
        <f>IF(ISNUMBER(Sheet1!B62),Sheet1!B62,"")</f>
        <v/>
      </c>
      <c r="D58" s="97">
        <f>IF(ISNUMBER(Sheet1!AH62),Sheet1!AH62,"")</f>
        <v/>
      </c>
      <c r="E58" s="98">
        <f>IF(ISNUMBER(Sheet1!AI62),Sheet1!AI62,"")</f>
        <v/>
      </c>
      <c r="F58" s="99">
        <f>IFERROR(IF(ISNUMBER(Sheet1!AI62),Sheet1!AI62,0)/Sheet1!AI104*100,0)</f>
        <v/>
      </c>
    </row>
    <row r="59" ht="17" customHeight="1" s="13">
      <c r="A59" s="100" t="n">
        <v>6</v>
      </c>
      <c r="B59" s="59">
        <f>Sheet1!A63</f>
        <v/>
      </c>
      <c r="C59" s="60">
        <f>IF(ISNUMBER(Sheet1!B63),Sheet1!B63,"")</f>
        <v/>
      </c>
      <c r="D59" s="60">
        <f>IF(ISNUMBER(Sheet1!AH63),Sheet1!AH63,"")</f>
        <v/>
      </c>
      <c r="E59" s="61">
        <f>IF(ISNUMBER(Sheet1!AI63),Sheet1!AI63,"")</f>
        <v/>
      </c>
      <c r="F59" s="101">
        <f>IFERROR(IF(ISNUMBER(Sheet1!AI63),Sheet1!AI63,0)/Sheet1!AI104*100,0)</f>
        <v/>
      </c>
    </row>
    <row r="60" ht="17" customHeight="1" s="13">
      <c r="A60" s="95" t="n">
        <v>7</v>
      </c>
      <c r="B60" s="96">
        <f>Sheet1!A64</f>
        <v/>
      </c>
      <c r="C60" s="97">
        <f>IF(ISNUMBER(Sheet1!B64),Sheet1!B64,"")</f>
        <v/>
      </c>
      <c r="D60" s="97">
        <f>IF(ISNUMBER(Sheet1!AH64),Sheet1!AH64,"")</f>
        <v/>
      </c>
      <c r="E60" s="98">
        <f>IF(ISNUMBER(Sheet1!AI64),Sheet1!AI64,"")</f>
        <v/>
      </c>
      <c r="F60" s="99">
        <f>IFERROR(IF(ISNUMBER(Sheet1!AI64),Sheet1!AI64,0)/Sheet1!AI104*100,0)</f>
        <v/>
      </c>
    </row>
    <row r="61" ht="17" customHeight="1" s="13">
      <c r="A61" s="100" t="n">
        <v>8</v>
      </c>
      <c r="B61" s="59">
        <f>Sheet1!A65</f>
        <v/>
      </c>
      <c r="C61" s="60">
        <f>IF(ISNUMBER(Sheet1!B65),Sheet1!B65,"")</f>
        <v/>
      </c>
      <c r="D61" s="60">
        <f>IF(ISNUMBER(Sheet1!AH65),Sheet1!AH65,"")</f>
        <v/>
      </c>
      <c r="E61" s="61">
        <f>IF(ISNUMBER(Sheet1!AI65),Sheet1!AI65,"")</f>
        <v/>
      </c>
      <c r="F61" s="101">
        <f>IFERROR(IF(ISNUMBER(Sheet1!AI65),Sheet1!AI65,0)/Sheet1!AI104*100,0)</f>
        <v/>
      </c>
    </row>
    <row r="62" ht="17" customHeight="1" s="13">
      <c r="A62" s="95" t="n">
        <v>9</v>
      </c>
      <c r="B62" s="96">
        <f>Sheet1!A66</f>
        <v/>
      </c>
      <c r="C62" s="97">
        <f>IF(ISNUMBER(Sheet1!B66),Sheet1!B66,"")</f>
        <v/>
      </c>
      <c r="D62" s="97">
        <f>IF(ISNUMBER(Sheet1!AH66),Sheet1!AH66,"")</f>
        <v/>
      </c>
      <c r="E62" s="98">
        <f>IF(ISNUMBER(Sheet1!AI66),Sheet1!AI66,"")</f>
        <v/>
      </c>
      <c r="F62" s="99">
        <f>IFERROR(IF(ISNUMBER(Sheet1!AI66),Sheet1!AI66,0)/Sheet1!AI104*100,0)</f>
        <v/>
      </c>
    </row>
    <row r="63" ht="17" customHeight="1" s="13">
      <c r="A63" s="100" t="n">
        <v>10</v>
      </c>
      <c r="B63" s="59">
        <f>Sheet1!A67</f>
        <v/>
      </c>
      <c r="C63" s="60">
        <f>IF(ISNUMBER(Sheet1!B67),Sheet1!B67,"")</f>
        <v/>
      </c>
      <c r="D63" s="60">
        <f>IF(ISNUMBER(Sheet1!AH67),Sheet1!AH67,"")</f>
        <v/>
      </c>
      <c r="E63" s="61">
        <f>IF(ISNUMBER(Sheet1!AI67),Sheet1!AI67,"")</f>
        <v/>
      </c>
      <c r="F63" s="101">
        <f>IFERROR(IF(ISNUMBER(Sheet1!AI67),Sheet1!AI67,0)/Sheet1!AI104*100,0)</f>
        <v/>
      </c>
    </row>
    <row r="64" ht="17" customHeight="1" s="13">
      <c r="A64" s="95" t="n">
        <v>11</v>
      </c>
      <c r="B64" s="96">
        <f>Sheet1!A68</f>
        <v/>
      </c>
      <c r="C64" s="97">
        <f>IF(ISNUMBER(Sheet1!B68),Sheet1!B68,"")</f>
        <v/>
      </c>
      <c r="D64" s="97">
        <f>IF(ISNUMBER(Sheet1!AH68),Sheet1!AH68,"")</f>
        <v/>
      </c>
      <c r="E64" s="98">
        <f>IF(ISNUMBER(Sheet1!AI68),Sheet1!AI68,"")</f>
        <v/>
      </c>
      <c r="F64" s="99">
        <f>IFERROR(IF(ISNUMBER(Sheet1!AI68),Sheet1!AI68,0)/Sheet1!AI104*100,0)</f>
        <v/>
      </c>
    </row>
    <row r="65" ht="17" customHeight="1" s="13">
      <c r="A65" s="100" t="n">
        <v>12</v>
      </c>
      <c r="B65" s="59">
        <f>Sheet1!A69</f>
        <v/>
      </c>
      <c r="C65" s="60">
        <f>IF(ISNUMBER(Sheet1!B69),Sheet1!B69,"")</f>
        <v/>
      </c>
      <c r="D65" s="60">
        <f>IF(ISNUMBER(Sheet1!AH69),Sheet1!AH69,"")</f>
        <v/>
      </c>
      <c r="E65" s="61">
        <f>IF(ISNUMBER(Sheet1!AI69),Sheet1!AI69,"")</f>
        <v/>
      </c>
      <c r="F65" s="101">
        <f>IFERROR(IF(ISNUMBER(Sheet1!AI69),Sheet1!AI69,0)/Sheet1!AI104*100,0)</f>
        <v/>
      </c>
    </row>
    <row r="66" ht="17" customHeight="1" s="13">
      <c r="A66" s="95" t="n">
        <v>13</v>
      </c>
      <c r="B66" s="96">
        <f>Sheet1!A70</f>
        <v/>
      </c>
      <c r="C66" s="97">
        <f>IF(ISNUMBER(Sheet1!B70),Sheet1!B70,"")</f>
        <v/>
      </c>
      <c r="D66" s="97">
        <f>IF(ISNUMBER(Sheet1!AH70),Sheet1!AH70,"")</f>
        <v/>
      </c>
      <c r="E66" s="98">
        <f>IF(ISNUMBER(Sheet1!AI70),Sheet1!AI70,"")</f>
        <v/>
      </c>
      <c r="F66" s="99">
        <f>IFERROR(IF(ISNUMBER(Sheet1!AI70),Sheet1!AI70,0)/Sheet1!AI104*100,0)</f>
        <v/>
      </c>
    </row>
    <row r="67" ht="17" customHeight="1" s="13">
      <c r="A67" s="100" t="n">
        <v>14</v>
      </c>
      <c r="B67" s="59">
        <f>Sheet1!A71</f>
        <v/>
      </c>
      <c r="C67" s="60">
        <f>IF(ISNUMBER(Sheet1!B71),Sheet1!B71,"")</f>
        <v/>
      </c>
      <c r="D67" s="60">
        <f>IF(ISNUMBER(Sheet1!AH71),Sheet1!AH71,"")</f>
        <v/>
      </c>
      <c r="E67" s="61">
        <f>IF(ISNUMBER(Sheet1!AI71),Sheet1!AI71,"")</f>
        <v/>
      </c>
      <c r="F67" s="101">
        <f>IFERROR(IF(ISNUMBER(Sheet1!AI71),Sheet1!AI71,0)/Sheet1!AI104*100,0)</f>
        <v/>
      </c>
    </row>
    <row r="68" ht="17" customHeight="1" s="13">
      <c r="A68" s="95" t="n">
        <v>15</v>
      </c>
      <c r="B68" s="96">
        <f>Sheet1!A72</f>
        <v/>
      </c>
      <c r="C68" s="97">
        <f>IF(ISNUMBER(Sheet1!B72),Sheet1!B72,"")</f>
        <v/>
      </c>
      <c r="D68" s="97">
        <f>IF(ISNUMBER(Sheet1!AH72),Sheet1!AH72,"")</f>
        <v/>
      </c>
      <c r="E68" s="98">
        <f>IF(ISNUMBER(Sheet1!AI72),Sheet1!AI72,"")</f>
        <v/>
      </c>
      <c r="F68" s="99">
        <f>IFERROR(IF(ISNUMBER(Sheet1!AI72),Sheet1!AI72,0)/Sheet1!AI104*100,0)</f>
        <v/>
      </c>
    </row>
    <row r="69" ht="17" customHeight="1" s="13">
      <c r="A69" s="100" t="n">
        <v>16</v>
      </c>
      <c r="B69" s="59">
        <f>Sheet1!A73</f>
        <v/>
      </c>
      <c r="C69" s="60">
        <f>IF(ISNUMBER(Sheet1!B73),Sheet1!B73,"")</f>
        <v/>
      </c>
      <c r="D69" s="60">
        <f>IF(ISNUMBER(Sheet1!AH73),Sheet1!AH73,"")</f>
        <v/>
      </c>
      <c r="E69" s="61">
        <f>IF(ISNUMBER(Sheet1!AI73),Sheet1!AI73,"")</f>
        <v/>
      </c>
      <c r="F69" s="101">
        <f>IFERROR(IF(ISNUMBER(Sheet1!AI73),Sheet1!AI73,0)/Sheet1!AI104*100,0)</f>
        <v/>
      </c>
    </row>
    <row r="70" ht="17" customHeight="1" s="13">
      <c r="A70" s="95" t="n">
        <v>17</v>
      </c>
      <c r="B70" s="96">
        <f>Sheet1!A74</f>
        <v/>
      </c>
      <c r="C70" s="97">
        <f>IF(ISNUMBER(Sheet1!B74),Sheet1!B74,"")</f>
        <v/>
      </c>
      <c r="D70" s="97">
        <f>IF(ISNUMBER(Sheet1!AH74),Sheet1!AH74,"")</f>
        <v/>
      </c>
      <c r="E70" s="98">
        <f>IF(ISNUMBER(Sheet1!AI74),Sheet1!AI74,"")</f>
        <v/>
      </c>
      <c r="F70" s="99">
        <f>IFERROR(IF(ISNUMBER(Sheet1!AI74),Sheet1!AI74,0)/Sheet1!AI104*100,0)</f>
        <v/>
      </c>
    </row>
    <row r="71" ht="17" customHeight="1" s="13">
      <c r="A71" s="100" t="n">
        <v>18</v>
      </c>
      <c r="B71" s="59">
        <f>Sheet1!A75</f>
        <v/>
      </c>
      <c r="C71" s="60">
        <f>IF(ISNUMBER(Sheet1!B75),Sheet1!B75,"")</f>
        <v/>
      </c>
      <c r="D71" s="60">
        <f>IF(ISNUMBER(Sheet1!AH75),Sheet1!AH75,"")</f>
        <v/>
      </c>
      <c r="E71" s="61">
        <f>IF(ISNUMBER(Sheet1!AI75),Sheet1!AI75,"")</f>
        <v/>
      </c>
      <c r="F71" s="101">
        <f>IFERROR(IF(ISNUMBER(Sheet1!AI75),Sheet1!AI75,0)/Sheet1!AI104*100,0)</f>
        <v/>
      </c>
    </row>
    <row r="72" ht="17" customHeight="1" s="13">
      <c r="A72" s="95" t="n">
        <v>19</v>
      </c>
      <c r="B72" s="96">
        <f>Sheet1!A76</f>
        <v/>
      </c>
      <c r="C72" s="97">
        <f>IF(ISNUMBER(Sheet1!B76),Sheet1!B76,"")</f>
        <v/>
      </c>
      <c r="D72" s="97">
        <f>IF(ISNUMBER(Sheet1!AH76),Sheet1!AH76,"")</f>
        <v/>
      </c>
      <c r="E72" s="98">
        <f>IF(ISNUMBER(Sheet1!AI76),Sheet1!AI76,"")</f>
        <v/>
      </c>
      <c r="F72" s="99">
        <f>IFERROR(IF(ISNUMBER(Sheet1!AI76),Sheet1!AI76,0)/Sheet1!AI104*100,0)</f>
        <v/>
      </c>
    </row>
    <row r="73" ht="17" customHeight="1" s="13">
      <c r="A73" s="100" t="n">
        <v>20</v>
      </c>
      <c r="B73" s="59">
        <f>Sheet1!A77</f>
        <v/>
      </c>
      <c r="C73" s="60">
        <f>IF(ISNUMBER(Sheet1!B77),Sheet1!B77,"")</f>
        <v/>
      </c>
      <c r="D73" s="60">
        <f>IF(ISNUMBER(Sheet1!AH77),Sheet1!AH77,"")</f>
        <v/>
      </c>
      <c r="E73" s="61">
        <f>IF(ISNUMBER(Sheet1!AI77),Sheet1!AI77,"")</f>
        <v/>
      </c>
      <c r="F73" s="101">
        <f>IFERROR(IF(ISNUMBER(Sheet1!AI77),Sheet1!AI77,0)/Sheet1!AI104*100,0)</f>
        <v/>
      </c>
    </row>
    <row r="74" ht="17" customHeight="1" s="13">
      <c r="A74" s="95" t="n">
        <v>21</v>
      </c>
      <c r="B74" s="96">
        <f>Sheet1!A78</f>
        <v/>
      </c>
      <c r="C74" s="97">
        <f>IF(ISNUMBER(Sheet1!B78),Sheet1!B78,"")</f>
        <v/>
      </c>
      <c r="D74" s="97">
        <f>IF(ISNUMBER(Sheet1!AH78),Sheet1!AH78,"")</f>
        <v/>
      </c>
      <c r="E74" s="98">
        <f>IF(ISNUMBER(Sheet1!AI78),Sheet1!AI78,"")</f>
        <v/>
      </c>
      <c r="F74" s="99">
        <f>IFERROR(IF(ISNUMBER(Sheet1!AI78),Sheet1!AI78,0)/Sheet1!AI104*100,0)</f>
        <v/>
      </c>
    </row>
    <row r="75" ht="17" customHeight="1" s="13">
      <c r="A75" s="100" t="n">
        <v>22</v>
      </c>
      <c r="B75" s="59">
        <f>Sheet1!A79</f>
        <v/>
      </c>
      <c r="C75" s="60">
        <f>IF(ISNUMBER(Sheet1!B79),Sheet1!B79,"")</f>
        <v/>
      </c>
      <c r="D75" s="60">
        <f>IF(ISNUMBER(Sheet1!AH79),Sheet1!AH79,"")</f>
        <v/>
      </c>
      <c r="E75" s="61">
        <f>IF(ISNUMBER(Sheet1!AI79),Sheet1!AI79,"")</f>
        <v/>
      </c>
      <c r="F75" s="101">
        <f>IFERROR(IF(ISNUMBER(Sheet1!AI79),Sheet1!AI79,0)/Sheet1!AI104*100,0)</f>
        <v/>
      </c>
    </row>
    <row r="76" ht="17" customHeight="1" s="13">
      <c r="A76" s="95" t="n">
        <v>23</v>
      </c>
      <c r="B76" s="96">
        <f>Sheet1!A80</f>
        <v/>
      </c>
      <c r="C76" s="97">
        <f>IF(ISNUMBER(Sheet1!B80),Sheet1!B80,"")</f>
        <v/>
      </c>
      <c r="D76" s="97">
        <f>IF(ISNUMBER(Sheet1!AH80),Sheet1!AH80,"")</f>
        <v/>
      </c>
      <c r="E76" s="98">
        <f>IF(ISNUMBER(Sheet1!AI80),Sheet1!AI80,"")</f>
        <v/>
      </c>
      <c r="F76" s="99">
        <f>IFERROR(IF(ISNUMBER(Sheet1!AI80),Sheet1!AI80,0)/Sheet1!AI104*100,0)</f>
        <v/>
      </c>
    </row>
    <row r="77" ht="17" customHeight="1" s="13">
      <c r="A77" s="100" t="n">
        <v>24</v>
      </c>
      <c r="B77" s="59">
        <f>Sheet1!A81</f>
        <v/>
      </c>
      <c r="C77" s="60">
        <f>IF(ISNUMBER(Sheet1!B81),Sheet1!B81,"")</f>
        <v/>
      </c>
      <c r="D77" s="60">
        <f>IF(ISNUMBER(Sheet1!AH81),Sheet1!AH81,"")</f>
        <v/>
      </c>
      <c r="E77" s="61">
        <f>IF(ISNUMBER(Sheet1!AI81),Sheet1!AI81,"")</f>
        <v/>
      </c>
      <c r="F77" s="101">
        <f>IFERROR(IF(ISNUMBER(Sheet1!AI81),Sheet1!AI81,0)/Sheet1!AI104*100,0)</f>
        <v/>
      </c>
    </row>
    <row r="78" ht="17" customHeight="1" s="13">
      <c r="A78" s="95" t="n">
        <v>25</v>
      </c>
      <c r="B78" s="96">
        <f>Sheet1!A82</f>
        <v/>
      </c>
      <c r="C78" s="97">
        <f>IF(ISNUMBER(Sheet1!B82),Sheet1!B82,"")</f>
        <v/>
      </c>
      <c r="D78" s="97">
        <f>IF(ISNUMBER(Sheet1!AH82),Sheet1!AH82,"")</f>
        <v/>
      </c>
      <c r="E78" s="98">
        <f>IF(ISNUMBER(Sheet1!AI82),Sheet1!AI82,"")</f>
        <v/>
      </c>
      <c r="F78" s="99">
        <f>IFERROR(IF(ISNUMBER(Sheet1!AI82),Sheet1!AI82,0)/Sheet1!AI104*100,0)</f>
        <v/>
      </c>
    </row>
    <row r="79" ht="17" customHeight="1" s="13">
      <c r="A79" s="100" t="n">
        <v>26</v>
      </c>
      <c r="B79" s="59">
        <f>Sheet1!A83</f>
        <v/>
      </c>
      <c r="C79" s="60">
        <f>IF(ISNUMBER(Sheet1!B83),Sheet1!B83,"")</f>
        <v/>
      </c>
      <c r="D79" s="60">
        <f>IF(ISNUMBER(Sheet1!AH83),Sheet1!AH83,"")</f>
        <v/>
      </c>
      <c r="E79" s="61">
        <f>IF(ISNUMBER(Sheet1!AI83),Sheet1!AI83,"")</f>
        <v/>
      </c>
      <c r="F79" s="101">
        <f>IFERROR(IF(ISNUMBER(Sheet1!AI83),Sheet1!AI83,0)/Sheet1!AI104*100,0)</f>
        <v/>
      </c>
    </row>
    <row r="80" ht="17" customHeight="1" s="13">
      <c r="A80" s="95" t="n">
        <v>27</v>
      </c>
      <c r="B80" s="96">
        <f>Sheet1!A84</f>
        <v/>
      </c>
      <c r="C80" s="97">
        <f>IF(ISNUMBER(Sheet1!B84),Sheet1!B84,"")</f>
        <v/>
      </c>
      <c r="D80" s="97">
        <f>IF(ISNUMBER(Sheet1!AH84),Sheet1!AH84,"")</f>
        <v/>
      </c>
      <c r="E80" s="98">
        <f>IF(ISNUMBER(Sheet1!AI84),Sheet1!AI84,"")</f>
        <v/>
      </c>
      <c r="F80" s="99">
        <f>IFERROR(IF(ISNUMBER(Sheet1!AI84),Sheet1!AI84,0)/Sheet1!AI104*100,0)</f>
        <v/>
      </c>
    </row>
    <row r="81" ht="17" customHeight="1" s="13">
      <c r="A81" s="100" t="n">
        <v>28</v>
      </c>
      <c r="B81" s="59">
        <f>Sheet1!A85</f>
        <v/>
      </c>
      <c r="C81" s="60">
        <f>IF(ISNUMBER(Sheet1!B85),Sheet1!B85,"")</f>
        <v/>
      </c>
      <c r="D81" s="60">
        <f>IF(ISNUMBER(Sheet1!AH85),Sheet1!AH85,"")</f>
        <v/>
      </c>
      <c r="E81" s="61">
        <f>IF(ISNUMBER(Sheet1!AI85),Sheet1!AI85,"")</f>
        <v/>
      </c>
      <c r="F81" s="101">
        <f>IFERROR(IF(ISNUMBER(Sheet1!AI85),Sheet1!AI85,0)/Sheet1!AI104*100,0)</f>
        <v/>
      </c>
    </row>
    <row r="82" ht="17" customHeight="1" s="13">
      <c r="A82" s="95" t="n">
        <v>29</v>
      </c>
      <c r="B82" s="96">
        <f>Sheet1!A86</f>
        <v/>
      </c>
      <c r="C82" s="97">
        <f>IF(ISNUMBER(Sheet1!B86),Sheet1!B86,"")</f>
        <v/>
      </c>
      <c r="D82" s="97">
        <f>IF(ISNUMBER(Sheet1!AH86),Sheet1!AH86,"")</f>
        <v/>
      </c>
      <c r="E82" s="98">
        <f>IF(ISNUMBER(Sheet1!AI86),Sheet1!AI86,"")</f>
        <v/>
      </c>
      <c r="F82" s="99">
        <f>IFERROR(IF(ISNUMBER(Sheet1!AI86),Sheet1!AI86,0)/Sheet1!AI104*100,0)</f>
        <v/>
      </c>
    </row>
    <row r="83" ht="17" customHeight="1" s="13">
      <c r="A83" s="100" t="n">
        <v>30</v>
      </c>
      <c r="B83" s="59">
        <f>Sheet1!A87</f>
        <v/>
      </c>
      <c r="C83" s="60">
        <f>IF(ISNUMBER(Sheet1!B87),Sheet1!B87,"")</f>
        <v/>
      </c>
      <c r="D83" s="60">
        <f>IF(ISNUMBER(Sheet1!AH87),Sheet1!AH87,"")</f>
        <v/>
      </c>
      <c r="E83" s="61">
        <f>IF(ISNUMBER(Sheet1!AI87),Sheet1!AI87,"")</f>
        <v/>
      </c>
      <c r="F83" s="101">
        <f>IFERROR(IF(ISNUMBER(Sheet1!AI87),Sheet1!AI87,0)/Sheet1!AI104*100,0)</f>
        <v/>
      </c>
    </row>
    <row r="84" ht="17" customHeight="1" s="13">
      <c r="A84" s="95" t="n">
        <v>31</v>
      </c>
      <c r="B84" s="96">
        <f>Sheet1!A88</f>
        <v/>
      </c>
      <c r="C84" s="97">
        <f>IF(ISNUMBER(Sheet1!B88),Sheet1!B88,"")</f>
        <v/>
      </c>
      <c r="D84" s="97">
        <f>IF(ISNUMBER(Sheet1!AH88),Sheet1!AH88,"")</f>
        <v/>
      </c>
      <c r="E84" s="98">
        <f>IF(ISNUMBER(Sheet1!AI88),Sheet1!AI88,"")</f>
        <v/>
      </c>
      <c r="F84" s="99">
        <f>IFERROR(IF(ISNUMBER(Sheet1!AI88),Sheet1!AI88,0)/Sheet1!AI104*100,0)</f>
        <v/>
      </c>
    </row>
    <row r="85" ht="17" customHeight="1" s="13">
      <c r="A85" s="100" t="n">
        <v>32</v>
      </c>
      <c r="B85" s="59">
        <f>Sheet1!A89</f>
        <v/>
      </c>
      <c r="C85" s="60">
        <f>IF(ISNUMBER(Sheet1!B89),Sheet1!B89,"")</f>
        <v/>
      </c>
      <c r="D85" s="60">
        <f>IF(ISNUMBER(Sheet1!AH89),Sheet1!AH89,"")</f>
        <v/>
      </c>
      <c r="E85" s="61">
        <f>IF(ISNUMBER(Sheet1!AI89),Sheet1!AI89,"")</f>
        <v/>
      </c>
      <c r="F85" s="101">
        <f>IFERROR(IF(ISNUMBER(Sheet1!AI89),Sheet1!AI89,0)/Sheet1!AI104*100,0)</f>
        <v/>
      </c>
    </row>
    <row r="86" ht="17" customHeight="1" s="13">
      <c r="A86" s="95" t="n">
        <v>33</v>
      </c>
      <c r="B86" s="96">
        <f>Sheet1!A90</f>
        <v/>
      </c>
      <c r="C86" s="97">
        <f>IF(ISNUMBER(Sheet1!B90),Sheet1!B90,"")</f>
        <v/>
      </c>
      <c r="D86" s="97">
        <f>IF(ISNUMBER(Sheet1!AH90),Sheet1!AH90,"")</f>
        <v/>
      </c>
      <c r="E86" s="98">
        <f>IF(ISNUMBER(Sheet1!AI90),Sheet1!AI90,"")</f>
        <v/>
      </c>
      <c r="F86" s="99">
        <f>IFERROR(IF(ISNUMBER(Sheet1!AI90),Sheet1!AI90,0)/Sheet1!AI104*100,0)</f>
        <v/>
      </c>
    </row>
    <row r="87" ht="17" customHeight="1" s="13">
      <c r="A87" s="100" t="n">
        <v>34</v>
      </c>
      <c r="B87" s="59">
        <f>Sheet1!A91</f>
        <v/>
      </c>
      <c r="C87" s="60">
        <f>IF(ISNUMBER(Sheet1!B91),Sheet1!B91,"")</f>
        <v/>
      </c>
      <c r="D87" s="60">
        <f>IF(ISNUMBER(Sheet1!AH91),Sheet1!AH91,"")</f>
        <v/>
      </c>
      <c r="E87" s="61">
        <f>IF(ISNUMBER(Sheet1!AI91),Sheet1!AI91,"")</f>
        <v/>
      </c>
      <c r="F87" s="101">
        <f>IFERROR(IF(ISNUMBER(Sheet1!AI91),Sheet1!AI91,0)/Sheet1!AI104*100,0)</f>
        <v/>
      </c>
    </row>
    <row r="88" ht="17" customHeight="1" s="13">
      <c r="A88" s="95" t="n">
        <v>35</v>
      </c>
      <c r="B88" s="96">
        <f>Sheet1!A92</f>
        <v/>
      </c>
      <c r="C88" s="97">
        <f>IF(ISNUMBER(Sheet1!B92),Sheet1!B92,"")</f>
        <v/>
      </c>
      <c r="D88" s="97">
        <f>IF(ISNUMBER(Sheet1!AH92),Sheet1!AH92,"")</f>
        <v/>
      </c>
      <c r="E88" s="98">
        <f>IF(ISNUMBER(Sheet1!AI92),Sheet1!AI92,"")</f>
        <v/>
      </c>
      <c r="F88" s="99">
        <f>IFERROR(IF(ISNUMBER(Sheet1!AI92),Sheet1!AI92,0)/Sheet1!AI104*100,0)</f>
        <v/>
      </c>
    </row>
    <row r="89" ht="17" customHeight="1" s="13">
      <c r="A89" s="100" t="n">
        <v>36</v>
      </c>
      <c r="B89" s="59">
        <f>Sheet1!A93</f>
        <v/>
      </c>
      <c r="C89" s="60">
        <f>IF(ISNUMBER(Sheet1!B93),Sheet1!B93,"")</f>
        <v/>
      </c>
      <c r="D89" s="60">
        <f>IF(ISNUMBER(Sheet1!AH93),Sheet1!AH93,"")</f>
        <v/>
      </c>
      <c r="E89" s="61">
        <f>IF(ISNUMBER(Sheet1!AI93),Sheet1!AI93,"")</f>
        <v/>
      </c>
      <c r="F89" s="101">
        <f>IFERROR(IF(ISNUMBER(Sheet1!AI93),Sheet1!AI93,0)/Sheet1!AI104*100,0)</f>
        <v/>
      </c>
    </row>
    <row r="90" ht="17" customHeight="1" s="13">
      <c r="A90" s="95" t="n">
        <v>37</v>
      </c>
      <c r="B90" s="96">
        <f>Sheet1!A94</f>
        <v/>
      </c>
      <c r="C90" s="97">
        <f>IF(ISNUMBER(Sheet1!B94),Sheet1!B94,"")</f>
        <v/>
      </c>
      <c r="D90" s="97">
        <f>IF(ISNUMBER(Sheet1!AH94),Sheet1!AH94,"")</f>
        <v/>
      </c>
      <c r="E90" s="98">
        <f>IF(ISNUMBER(Sheet1!AI94),Sheet1!AI94,"")</f>
        <v/>
      </c>
      <c r="F90" s="99">
        <f>IFERROR(IF(ISNUMBER(Sheet1!AI94),Sheet1!AI94,0)/Sheet1!AI104*100,0)</f>
        <v/>
      </c>
    </row>
    <row r="91" ht="17" customHeight="1" s="13">
      <c r="A91" s="100" t="n">
        <v>38</v>
      </c>
      <c r="B91" s="59">
        <f>Sheet1!A95</f>
        <v/>
      </c>
      <c r="C91" s="60">
        <f>IF(ISNUMBER(Sheet1!B95),Sheet1!B95,"")</f>
        <v/>
      </c>
      <c r="D91" s="60">
        <f>IF(ISNUMBER(Sheet1!AH95),Sheet1!AH95,"")</f>
        <v/>
      </c>
      <c r="E91" s="61">
        <f>IF(ISNUMBER(Sheet1!AI95),Sheet1!AI95,"")</f>
        <v/>
      </c>
      <c r="F91" s="101">
        <f>IFERROR(IF(ISNUMBER(Sheet1!AI95),Sheet1!AI95,0)/Sheet1!AI104*100,0)</f>
        <v/>
      </c>
    </row>
    <row r="92" ht="17" customHeight="1" s="13">
      <c r="A92" s="95" t="n">
        <v>39</v>
      </c>
      <c r="B92" s="96">
        <f>Sheet1!A96</f>
        <v/>
      </c>
      <c r="C92" s="97">
        <f>IF(ISNUMBER(Sheet1!B96),Sheet1!B96,"")</f>
        <v/>
      </c>
      <c r="D92" s="97">
        <f>IF(ISNUMBER(Sheet1!AH96),Sheet1!AH96,"")</f>
        <v/>
      </c>
      <c r="E92" s="98">
        <f>IF(ISNUMBER(Sheet1!AI96),Sheet1!AI96,"")</f>
        <v/>
      </c>
      <c r="F92" s="99">
        <f>IFERROR(IF(ISNUMBER(Sheet1!AI96),Sheet1!AI96,0)/Sheet1!AI104*100,0)</f>
        <v/>
      </c>
    </row>
    <row r="93" ht="17" customHeight="1" s="13">
      <c r="A93" s="100" t="n">
        <v>40</v>
      </c>
      <c r="B93" s="59">
        <f>Sheet1!A97</f>
        <v/>
      </c>
      <c r="C93" s="60">
        <f>IF(ISNUMBER(Sheet1!B97),Sheet1!B97,"")</f>
        <v/>
      </c>
      <c r="D93" s="60">
        <f>IF(ISNUMBER(Sheet1!AH97),Sheet1!AH97,"")</f>
        <v/>
      </c>
      <c r="E93" s="61">
        <f>IF(ISNUMBER(Sheet1!AI97),Sheet1!AI97,"")</f>
        <v/>
      </c>
      <c r="F93" s="101">
        <f>IFERROR(IF(ISNUMBER(Sheet1!AI97),Sheet1!AI97,0)/Sheet1!AI104*100,0)</f>
        <v/>
      </c>
    </row>
    <row r="94" ht="17" customHeight="1" s="13">
      <c r="A94" s="95" t="n">
        <v>41</v>
      </c>
      <c r="B94" s="96">
        <f>Sheet1!A98</f>
        <v/>
      </c>
      <c r="C94" s="97">
        <f>IF(ISNUMBER(Sheet1!B98),Sheet1!B98,"")</f>
        <v/>
      </c>
      <c r="D94" s="97">
        <f>IF(ISNUMBER(Sheet1!AH98),Sheet1!AH98,"")</f>
        <v/>
      </c>
      <c r="E94" s="98">
        <f>IF(ISNUMBER(Sheet1!AI98),Sheet1!AI98,"")</f>
        <v/>
      </c>
      <c r="F94" s="99">
        <f>IFERROR(IF(ISNUMBER(Sheet1!AI98),Sheet1!AI98,0)/Sheet1!AI104*100,0)</f>
        <v/>
      </c>
    </row>
    <row r="95" ht="17" customHeight="1" s="13">
      <c r="A95" s="100" t="n">
        <v>42</v>
      </c>
      <c r="B95" s="59">
        <f>Sheet1!A99</f>
        <v/>
      </c>
      <c r="C95" s="60">
        <f>IF(ISNUMBER(Sheet1!B99),Sheet1!B99,"")</f>
        <v/>
      </c>
      <c r="D95" s="60">
        <f>IF(ISNUMBER(Sheet1!AH99),Sheet1!AH99,"")</f>
        <v/>
      </c>
      <c r="E95" s="61">
        <f>IF(ISNUMBER(Sheet1!AI99),Sheet1!AI99,"")</f>
        <v/>
      </c>
      <c r="F95" s="101">
        <f>IFERROR(IF(ISNUMBER(Sheet1!AI99),Sheet1!AI99,0)/Sheet1!AI104*100,0)</f>
        <v/>
      </c>
    </row>
    <row r="96" ht="17" customHeight="1" s="13">
      <c r="A96" s="95" t="n">
        <v>43</v>
      </c>
      <c r="B96" s="96">
        <f>Sheet1!A100</f>
        <v/>
      </c>
      <c r="C96" s="97">
        <f>IF(ISNUMBER(Sheet1!B100),Sheet1!B100,"")</f>
        <v/>
      </c>
      <c r="D96" s="97">
        <f>IF(ISNUMBER(Sheet1!AH100),Sheet1!AH100,"")</f>
        <v/>
      </c>
      <c r="E96" s="98">
        <f>IF(ISNUMBER(Sheet1!AI100),Sheet1!AI100,"")</f>
        <v/>
      </c>
      <c r="F96" s="99">
        <f>IFERROR(IF(ISNUMBER(Sheet1!AI100),Sheet1!AI100,0)/Sheet1!AI104*100,0)</f>
        <v/>
      </c>
    </row>
    <row r="97" ht="17" customHeight="1" s="13">
      <c r="A97" s="100" t="n">
        <v>44</v>
      </c>
      <c r="B97" s="59">
        <f>Sheet1!A101</f>
        <v/>
      </c>
      <c r="C97" s="60">
        <f>IF(ISNUMBER(Sheet1!B101),Sheet1!B101,"")</f>
        <v/>
      </c>
      <c r="D97" s="60">
        <f>IF(ISNUMBER(Sheet1!AH101),Sheet1!AH101,"")</f>
        <v/>
      </c>
      <c r="E97" s="61">
        <f>IF(ISNUMBER(Sheet1!AI101),Sheet1!AI101,"")</f>
        <v/>
      </c>
      <c r="F97" s="101">
        <f>IFERROR(IF(ISNUMBER(Sheet1!AI101),Sheet1!AI101,0)/Sheet1!AI104*100,0)</f>
        <v/>
      </c>
    </row>
    <row r="98" ht="22" customHeight="1" s="13">
      <c r="A98" s="102" t="inlineStr"/>
      <c r="B98" s="103" t="inlineStr">
        <is>
          <t>SECTION TOTAL</t>
        </is>
      </c>
      <c r="C98" s="102" t="inlineStr"/>
      <c r="D98" s="102" t="inlineStr"/>
      <c r="E98" s="104">
        <f>Sheet1!AI104</f>
        <v/>
      </c>
      <c r="F98" s="105" t="inlineStr">
        <is>
          <t>100.0%</t>
        </is>
      </c>
    </row>
    <row r="99" ht="8" customHeight="1" s="13"/>
    <row r="100" ht="26" customHeight="1" s="13">
      <c r="A100" s="106" t="inlineStr">
        <is>
          <t xml:space="preserve">  DISPOSAL  (Packaging &amp; Consumables)</t>
        </is>
      </c>
    </row>
    <row r="101" ht="18" customHeight="1" s="13">
      <c r="A101" s="107" t="inlineStr">
        <is>
          <t>#</t>
        </is>
      </c>
      <c r="B101" s="107" t="inlineStr">
        <is>
          <t>ITEM NAME</t>
        </is>
      </c>
      <c r="C101" s="107" t="inlineStr">
        <is>
          <t>RATE / KG (Rs.)</t>
        </is>
      </c>
      <c r="D101" s="107" t="inlineStr">
        <is>
          <t>TOTAL QTY (KG/Unit)</t>
        </is>
      </c>
      <c r="E101" s="107" t="inlineStr">
        <is>
          <t>TOTAL AMOUNT (Rs.)</t>
        </is>
      </c>
      <c r="F101" s="107" t="inlineStr">
        <is>
          <t>% SHARE</t>
        </is>
      </c>
    </row>
    <row r="102" ht="17" customHeight="1" s="13">
      <c r="A102" s="108" t="n">
        <v>1</v>
      </c>
      <c r="B102" s="109">
        <f>Sheet1!A109</f>
        <v/>
      </c>
      <c r="C102" s="110">
        <f>IF(ISNUMBER(Sheet1!B109),Sheet1!B109,"")</f>
        <v/>
      </c>
      <c r="D102" s="110">
        <f>IF(ISNUMBER(Sheet1!AH109),Sheet1!AH109,"")</f>
        <v/>
      </c>
      <c r="E102" s="111">
        <f>IF(ISNUMBER(Sheet1!AI109),Sheet1!AI109,"")</f>
        <v/>
      </c>
      <c r="F102" s="112">
        <f>IFERROR(IF(ISNUMBER(Sheet1!AI109),Sheet1!AI109,0)/Sheet1!AI136*100,0)</f>
        <v/>
      </c>
    </row>
    <row r="103" ht="17" customHeight="1" s="13">
      <c r="A103" s="113" t="n">
        <v>2</v>
      </c>
      <c r="B103" s="59">
        <f>Sheet1!A110</f>
        <v/>
      </c>
      <c r="C103" s="60">
        <f>IF(ISNUMBER(Sheet1!B110),Sheet1!B110,"")</f>
        <v/>
      </c>
      <c r="D103" s="60">
        <f>IF(ISNUMBER(Sheet1!AH110),Sheet1!AH110,"")</f>
        <v/>
      </c>
      <c r="E103" s="61">
        <f>IF(ISNUMBER(Sheet1!AI110),Sheet1!AI110,"")</f>
        <v/>
      </c>
      <c r="F103" s="114">
        <f>IFERROR(IF(ISNUMBER(Sheet1!AI110),Sheet1!AI110,0)/Sheet1!AI136*100,0)</f>
        <v/>
      </c>
    </row>
    <row r="104" ht="17" customHeight="1" s="13">
      <c r="A104" s="108" t="n">
        <v>3</v>
      </c>
      <c r="B104" s="109">
        <f>Sheet1!A111</f>
        <v/>
      </c>
      <c r="C104" s="110">
        <f>IF(ISNUMBER(Sheet1!B111),Sheet1!B111,"")</f>
        <v/>
      </c>
      <c r="D104" s="110">
        <f>IF(ISNUMBER(Sheet1!AH111),Sheet1!AH111,"")</f>
        <v/>
      </c>
      <c r="E104" s="111">
        <f>IF(ISNUMBER(Sheet1!AI111),Sheet1!AI111,"")</f>
        <v/>
      </c>
      <c r="F104" s="112">
        <f>IFERROR(IF(ISNUMBER(Sheet1!AI111),Sheet1!AI111,0)/Sheet1!AI136*100,0)</f>
        <v/>
      </c>
    </row>
    <row r="105" ht="17" customHeight="1" s="13">
      <c r="A105" s="113" t="n">
        <v>4</v>
      </c>
      <c r="B105" s="59">
        <f>Sheet1!A112</f>
        <v/>
      </c>
      <c r="C105" s="60">
        <f>IF(ISNUMBER(Sheet1!B112),Sheet1!B112,"")</f>
        <v/>
      </c>
      <c r="D105" s="60">
        <f>IF(ISNUMBER(Sheet1!AH112),Sheet1!AH112,"")</f>
        <v/>
      </c>
      <c r="E105" s="61">
        <f>IF(ISNUMBER(Sheet1!AI112),Sheet1!AI112,"")</f>
        <v/>
      </c>
      <c r="F105" s="114">
        <f>IFERROR(IF(ISNUMBER(Sheet1!AI112),Sheet1!AI112,0)/Sheet1!AI136*100,0)</f>
        <v/>
      </c>
    </row>
    <row r="106" ht="17" customHeight="1" s="13">
      <c r="A106" s="108" t="n">
        <v>5</v>
      </c>
      <c r="B106" s="109">
        <f>Sheet1!A113</f>
        <v/>
      </c>
      <c r="C106" s="110">
        <f>IF(ISNUMBER(Sheet1!B113),Sheet1!B113,"")</f>
        <v/>
      </c>
      <c r="D106" s="110">
        <f>IF(ISNUMBER(Sheet1!AH113),Sheet1!AH113,"")</f>
        <v/>
      </c>
      <c r="E106" s="111">
        <f>IF(ISNUMBER(Sheet1!AI113),Sheet1!AI113,"")</f>
        <v/>
      </c>
      <c r="F106" s="112">
        <f>IFERROR(IF(ISNUMBER(Sheet1!AI113),Sheet1!AI113,0)/Sheet1!AI136*100,0)</f>
        <v/>
      </c>
    </row>
    <row r="107" ht="17" customHeight="1" s="13">
      <c r="A107" s="113" t="n">
        <v>6</v>
      </c>
      <c r="B107" s="59">
        <f>Sheet1!A114</f>
        <v/>
      </c>
      <c r="C107" s="60">
        <f>IF(ISNUMBER(Sheet1!B114),Sheet1!B114,"")</f>
        <v/>
      </c>
      <c r="D107" s="60">
        <f>IF(ISNUMBER(Sheet1!AH114),Sheet1!AH114,"")</f>
        <v/>
      </c>
      <c r="E107" s="61">
        <f>IF(ISNUMBER(Sheet1!AI114),Sheet1!AI114,"")</f>
        <v/>
      </c>
      <c r="F107" s="114">
        <f>IFERROR(IF(ISNUMBER(Sheet1!AI114),Sheet1!AI114,0)/Sheet1!AI136*100,0)</f>
        <v/>
      </c>
    </row>
    <row r="108" ht="17" customHeight="1" s="13">
      <c r="A108" s="108" t="n">
        <v>7</v>
      </c>
      <c r="B108" s="109">
        <f>Sheet1!A115</f>
        <v/>
      </c>
      <c r="C108" s="110">
        <f>IF(ISNUMBER(Sheet1!B115),Sheet1!B115,"")</f>
        <v/>
      </c>
      <c r="D108" s="110">
        <f>IF(ISNUMBER(Sheet1!AH115),Sheet1!AH115,"")</f>
        <v/>
      </c>
      <c r="E108" s="111">
        <f>IF(ISNUMBER(Sheet1!AI115),Sheet1!AI115,"")</f>
        <v/>
      </c>
      <c r="F108" s="112">
        <f>IFERROR(IF(ISNUMBER(Sheet1!AI115),Sheet1!AI115,0)/Sheet1!AI136*100,0)</f>
        <v/>
      </c>
    </row>
    <row r="109" ht="17" customHeight="1" s="13">
      <c r="A109" s="113" t="n">
        <v>8</v>
      </c>
      <c r="B109" s="59">
        <f>Sheet1!A116</f>
        <v/>
      </c>
      <c r="C109" s="60">
        <f>IF(ISNUMBER(Sheet1!B116),Sheet1!B116,"")</f>
        <v/>
      </c>
      <c r="D109" s="60">
        <f>IF(ISNUMBER(Sheet1!AH116),Sheet1!AH116,"")</f>
        <v/>
      </c>
      <c r="E109" s="61">
        <f>IF(ISNUMBER(Sheet1!AI116),Sheet1!AI116,"")</f>
        <v/>
      </c>
      <c r="F109" s="114">
        <f>IFERROR(IF(ISNUMBER(Sheet1!AI116),Sheet1!AI116,0)/Sheet1!AI136*100,0)</f>
        <v/>
      </c>
    </row>
    <row r="110" ht="17" customHeight="1" s="13">
      <c r="A110" s="108" t="n">
        <v>9</v>
      </c>
      <c r="B110" s="109">
        <f>Sheet1!A117</f>
        <v/>
      </c>
      <c r="C110" s="110">
        <f>IF(ISNUMBER(Sheet1!B117),Sheet1!B117,"")</f>
        <v/>
      </c>
      <c r="D110" s="110">
        <f>IF(ISNUMBER(Sheet1!AH117),Sheet1!AH117,"")</f>
        <v/>
      </c>
      <c r="E110" s="111">
        <f>IF(ISNUMBER(Sheet1!AI117),Sheet1!AI117,"")</f>
        <v/>
      </c>
      <c r="F110" s="112">
        <f>IFERROR(IF(ISNUMBER(Sheet1!AI117),Sheet1!AI117,0)/Sheet1!AI136*100,0)</f>
        <v/>
      </c>
    </row>
    <row r="111" ht="17" customHeight="1" s="13">
      <c r="A111" s="113" t="n">
        <v>10</v>
      </c>
      <c r="B111" s="59">
        <f>Sheet1!A118</f>
        <v/>
      </c>
      <c r="C111" s="60">
        <f>IF(ISNUMBER(Sheet1!B118),Sheet1!B118,"")</f>
        <v/>
      </c>
      <c r="D111" s="60">
        <f>IF(ISNUMBER(Sheet1!AH118),Sheet1!AH118,"")</f>
        <v/>
      </c>
      <c r="E111" s="61">
        <f>IF(ISNUMBER(Sheet1!AI118),Sheet1!AI118,"")</f>
        <v/>
      </c>
      <c r="F111" s="114">
        <f>IFERROR(IF(ISNUMBER(Sheet1!AI118),Sheet1!AI118,0)/Sheet1!AI136*100,0)</f>
        <v/>
      </c>
    </row>
    <row r="112" ht="17" customHeight="1" s="13">
      <c r="A112" s="108" t="n">
        <v>11</v>
      </c>
      <c r="B112" s="109">
        <f>Sheet1!A119</f>
        <v/>
      </c>
      <c r="C112" s="110">
        <f>IF(ISNUMBER(Sheet1!B119),Sheet1!B119,"")</f>
        <v/>
      </c>
      <c r="D112" s="110">
        <f>IF(ISNUMBER(Sheet1!AH119),Sheet1!AH119,"")</f>
        <v/>
      </c>
      <c r="E112" s="111">
        <f>IF(ISNUMBER(Sheet1!AI119),Sheet1!AI119,"")</f>
        <v/>
      </c>
      <c r="F112" s="112">
        <f>IFERROR(IF(ISNUMBER(Sheet1!AI119),Sheet1!AI119,0)/Sheet1!AI136*100,0)</f>
        <v/>
      </c>
    </row>
    <row r="113" ht="17" customHeight="1" s="13">
      <c r="A113" s="113" t="n">
        <v>12</v>
      </c>
      <c r="B113" s="59">
        <f>Sheet1!A120</f>
        <v/>
      </c>
      <c r="C113" s="60">
        <f>IF(ISNUMBER(Sheet1!B120),Sheet1!B120,"")</f>
        <v/>
      </c>
      <c r="D113" s="60">
        <f>IF(ISNUMBER(Sheet1!AH120),Sheet1!AH120,"")</f>
        <v/>
      </c>
      <c r="E113" s="61">
        <f>IF(ISNUMBER(Sheet1!AI120),Sheet1!AI120,"")</f>
        <v/>
      </c>
      <c r="F113" s="114">
        <f>IFERROR(IF(ISNUMBER(Sheet1!AI120),Sheet1!AI120,0)/Sheet1!AI136*100,0)</f>
        <v/>
      </c>
    </row>
    <row r="114" ht="17" customHeight="1" s="13">
      <c r="A114" s="108" t="n">
        <v>13</v>
      </c>
      <c r="B114" s="109">
        <f>Sheet1!A121</f>
        <v/>
      </c>
      <c r="C114" s="110">
        <f>IF(ISNUMBER(Sheet1!B121),Sheet1!B121,"")</f>
        <v/>
      </c>
      <c r="D114" s="110">
        <f>IF(ISNUMBER(Sheet1!AH121),Sheet1!AH121,"")</f>
        <v/>
      </c>
      <c r="E114" s="111">
        <f>IF(ISNUMBER(Sheet1!AI121),Sheet1!AI121,"")</f>
        <v/>
      </c>
      <c r="F114" s="112">
        <f>IFERROR(IF(ISNUMBER(Sheet1!AI121),Sheet1!AI121,0)/Sheet1!AI136*100,0)</f>
        <v/>
      </c>
    </row>
    <row r="115" ht="17" customHeight="1" s="13">
      <c r="A115" s="113" t="n">
        <v>14</v>
      </c>
      <c r="B115" s="59">
        <f>Sheet1!A122</f>
        <v/>
      </c>
      <c r="C115" s="60">
        <f>IF(ISNUMBER(Sheet1!B122),Sheet1!B122,"")</f>
        <v/>
      </c>
      <c r="D115" s="60">
        <f>IF(ISNUMBER(Sheet1!AH122),Sheet1!AH122,"")</f>
        <v/>
      </c>
      <c r="E115" s="61">
        <f>IF(ISNUMBER(Sheet1!AI122),Sheet1!AI122,"")</f>
        <v/>
      </c>
      <c r="F115" s="114">
        <f>IFERROR(IF(ISNUMBER(Sheet1!AI122),Sheet1!AI122,0)/Sheet1!AI136*100,0)</f>
        <v/>
      </c>
    </row>
    <row r="116" ht="17" customHeight="1" s="13">
      <c r="A116" s="108" t="n">
        <v>15</v>
      </c>
      <c r="B116" s="109">
        <f>Sheet1!A123</f>
        <v/>
      </c>
      <c r="C116" s="110">
        <f>IF(ISNUMBER(Sheet1!B123),Sheet1!B123,"")</f>
        <v/>
      </c>
      <c r="D116" s="110">
        <f>IF(ISNUMBER(Sheet1!AH123),Sheet1!AH123,"")</f>
        <v/>
      </c>
      <c r="E116" s="111">
        <f>IF(ISNUMBER(Sheet1!AI123),Sheet1!AI123,"")</f>
        <v/>
      </c>
      <c r="F116" s="112">
        <f>IFERROR(IF(ISNUMBER(Sheet1!AI123),Sheet1!AI123,0)/Sheet1!AI136*100,0)</f>
        <v/>
      </c>
    </row>
    <row r="117" ht="17" customHeight="1" s="13">
      <c r="A117" s="113" t="n">
        <v>16</v>
      </c>
      <c r="B117" s="59">
        <f>Sheet1!A124</f>
        <v/>
      </c>
      <c r="C117" s="60">
        <f>IF(ISNUMBER(Sheet1!B124),Sheet1!B124,"")</f>
        <v/>
      </c>
      <c r="D117" s="60">
        <f>IF(ISNUMBER(Sheet1!AH124),Sheet1!AH124,"")</f>
        <v/>
      </c>
      <c r="E117" s="61">
        <f>IF(ISNUMBER(Sheet1!AI124),Sheet1!AI124,"")</f>
        <v/>
      </c>
      <c r="F117" s="114">
        <f>IFERROR(IF(ISNUMBER(Sheet1!AI124),Sheet1!AI124,0)/Sheet1!AI136*100,0)</f>
        <v/>
      </c>
    </row>
    <row r="118" ht="17" customHeight="1" s="13">
      <c r="A118" s="108" t="n">
        <v>17</v>
      </c>
      <c r="B118" s="109">
        <f>Sheet1!A125</f>
        <v/>
      </c>
      <c r="C118" s="110">
        <f>IF(ISNUMBER(Sheet1!B125),Sheet1!B125,"")</f>
        <v/>
      </c>
      <c r="D118" s="110">
        <f>IF(ISNUMBER(Sheet1!AH125),Sheet1!AH125,"")</f>
        <v/>
      </c>
      <c r="E118" s="111">
        <f>IF(ISNUMBER(Sheet1!AI125),Sheet1!AI125,"")</f>
        <v/>
      </c>
      <c r="F118" s="112">
        <f>IFERROR(IF(ISNUMBER(Sheet1!AI125),Sheet1!AI125,0)/Sheet1!AI136*100,0)</f>
        <v/>
      </c>
    </row>
    <row r="119" ht="17" customHeight="1" s="13">
      <c r="A119" s="113" t="n">
        <v>18</v>
      </c>
      <c r="B119" s="59">
        <f>Sheet1!A126</f>
        <v/>
      </c>
      <c r="C119" s="60">
        <f>IF(ISNUMBER(Sheet1!B126),Sheet1!B126,"")</f>
        <v/>
      </c>
      <c r="D119" s="60">
        <f>IF(ISNUMBER(Sheet1!AH126),Sheet1!AH126,"")</f>
        <v/>
      </c>
      <c r="E119" s="61">
        <f>IF(ISNUMBER(Sheet1!AI126),Sheet1!AI126,"")</f>
        <v/>
      </c>
      <c r="F119" s="114">
        <f>IFERROR(IF(ISNUMBER(Sheet1!AI126),Sheet1!AI126,0)/Sheet1!AI136*100,0)</f>
        <v/>
      </c>
    </row>
    <row r="120" ht="17" customHeight="1" s="13">
      <c r="A120" s="108" t="n">
        <v>19</v>
      </c>
      <c r="B120" s="109">
        <f>Sheet1!A127</f>
        <v/>
      </c>
      <c r="C120" s="110">
        <f>IF(ISNUMBER(Sheet1!B127),Sheet1!B127,"")</f>
        <v/>
      </c>
      <c r="D120" s="110">
        <f>IF(ISNUMBER(Sheet1!AH127),Sheet1!AH127,"")</f>
        <v/>
      </c>
      <c r="E120" s="111">
        <f>IF(ISNUMBER(Sheet1!AI127),Sheet1!AI127,"")</f>
        <v/>
      </c>
      <c r="F120" s="112">
        <f>IFERROR(IF(ISNUMBER(Sheet1!AI127),Sheet1!AI127,0)/Sheet1!AI136*100,0)</f>
        <v/>
      </c>
    </row>
    <row r="121" ht="17" customHeight="1" s="13">
      <c r="A121" s="113" t="n">
        <v>20</v>
      </c>
      <c r="B121" s="59">
        <f>Sheet1!A128</f>
        <v/>
      </c>
      <c r="C121" s="60">
        <f>IF(ISNUMBER(Sheet1!B128),Sheet1!B128,"")</f>
        <v/>
      </c>
      <c r="D121" s="60">
        <f>IF(ISNUMBER(Sheet1!AH128),Sheet1!AH128,"")</f>
        <v/>
      </c>
      <c r="E121" s="61">
        <f>IF(ISNUMBER(Sheet1!AI128),Sheet1!AI128,"")</f>
        <v/>
      </c>
      <c r="F121" s="114">
        <f>IFERROR(IF(ISNUMBER(Sheet1!AI128),Sheet1!AI128,0)/Sheet1!AI136*100,0)</f>
        <v/>
      </c>
    </row>
    <row r="122" ht="17" customHeight="1" s="13">
      <c r="A122" s="108" t="n">
        <v>21</v>
      </c>
      <c r="B122" s="109">
        <f>Sheet1!A129</f>
        <v/>
      </c>
      <c r="C122" s="110">
        <f>IF(ISNUMBER(Sheet1!B129),Sheet1!B129,"")</f>
        <v/>
      </c>
      <c r="D122" s="110">
        <f>IF(ISNUMBER(Sheet1!AH129),Sheet1!AH129,"")</f>
        <v/>
      </c>
      <c r="E122" s="111">
        <f>IF(ISNUMBER(Sheet1!AI129),Sheet1!AI129,"")</f>
        <v/>
      </c>
      <c r="F122" s="112">
        <f>IFERROR(IF(ISNUMBER(Sheet1!AI129),Sheet1!AI129,0)/Sheet1!AI136*100,0)</f>
        <v/>
      </c>
    </row>
    <row r="123" ht="17" customHeight="1" s="13">
      <c r="A123" s="113" t="n">
        <v>22</v>
      </c>
      <c r="B123" s="59">
        <f>Sheet1!A130</f>
        <v/>
      </c>
      <c r="C123" s="60">
        <f>IF(ISNUMBER(Sheet1!B130),Sheet1!B130,"")</f>
        <v/>
      </c>
      <c r="D123" s="60">
        <f>IF(ISNUMBER(Sheet1!AH130),Sheet1!AH130,"")</f>
        <v/>
      </c>
      <c r="E123" s="61">
        <f>IF(ISNUMBER(Sheet1!AI130),Sheet1!AI130,"")</f>
        <v/>
      </c>
      <c r="F123" s="114">
        <f>IFERROR(IF(ISNUMBER(Sheet1!AI130),Sheet1!AI130,0)/Sheet1!AI136*100,0)</f>
        <v/>
      </c>
    </row>
    <row r="124" ht="17" customHeight="1" s="13">
      <c r="A124" s="108" t="n">
        <v>23</v>
      </c>
      <c r="B124" s="109">
        <f>Sheet1!A131</f>
        <v/>
      </c>
      <c r="C124" s="110">
        <f>IF(ISNUMBER(Sheet1!B131),Sheet1!B131,"")</f>
        <v/>
      </c>
      <c r="D124" s="110">
        <f>IF(ISNUMBER(Sheet1!AH131),Sheet1!AH131,"")</f>
        <v/>
      </c>
      <c r="E124" s="111">
        <f>IF(ISNUMBER(Sheet1!AI131),Sheet1!AI131,"")</f>
        <v/>
      </c>
      <c r="F124" s="112">
        <f>IFERROR(IF(ISNUMBER(Sheet1!AI131),Sheet1!AI131,0)/Sheet1!AI136*100,0)</f>
        <v/>
      </c>
    </row>
    <row r="125" ht="17" customHeight="1" s="13">
      <c r="A125" s="113" t="n">
        <v>24</v>
      </c>
      <c r="B125" s="59">
        <f>Sheet1!A132</f>
        <v/>
      </c>
      <c r="C125" s="60">
        <f>IF(ISNUMBER(Sheet1!B132),Sheet1!B132,"")</f>
        <v/>
      </c>
      <c r="D125" s="60">
        <f>IF(ISNUMBER(Sheet1!AH132),Sheet1!AH132,"")</f>
        <v/>
      </c>
      <c r="E125" s="61">
        <f>IF(ISNUMBER(Sheet1!AI132),Sheet1!AI132,"")</f>
        <v/>
      </c>
      <c r="F125" s="114">
        <f>IFERROR(IF(ISNUMBER(Sheet1!AI132),Sheet1!AI132,0)/Sheet1!AI136*100,0)</f>
        <v/>
      </c>
    </row>
    <row r="126" ht="22" customHeight="1" s="13">
      <c r="A126" s="115" t="inlineStr"/>
      <c r="B126" s="116" t="inlineStr">
        <is>
          <t>SECTION TOTAL</t>
        </is>
      </c>
      <c r="C126" s="115" t="inlineStr"/>
      <c r="D126" s="115" t="inlineStr"/>
      <c r="E126" s="117">
        <f>Sheet1!AI136</f>
        <v/>
      </c>
      <c r="F126" s="118" t="inlineStr">
        <is>
          <t>100.0%</t>
        </is>
      </c>
    </row>
    <row r="127" ht="8" customHeight="1" s="13"/>
    <row r="128" ht="15.75" customHeight="1" s="13"/>
    <row r="129" ht="28" customHeight="1" s="13">
      <c r="A129" s="119" t="inlineStr">
        <is>
          <t xml:space="preserve">  HOW TO ADD NEW ITEMS  (Step-by-Step Guide)</t>
        </is>
      </c>
    </row>
    <row r="130" ht="20" customHeight="1" s="13">
      <c r="A130" s="120" t="inlineStr">
        <is>
          <t>STEP 1</t>
        </is>
      </c>
      <c r="B130" s="121" t="inlineStr">
        <is>
          <t>Click on Sheet1 tab at the bottom of this workbook</t>
        </is>
      </c>
    </row>
    <row r="131" ht="20" customHeight="1" s="13">
      <c r="A131" s="120" t="inlineStr">
        <is>
          <t>STEP 2</t>
        </is>
      </c>
      <c r="B131" s="121" t="inlineStr">
        <is>
          <t>Find the right CATEGORY section (VEGETABLES / CHICKEN / RASHAN / DISPOSAL)</t>
        </is>
      </c>
    </row>
    <row r="132" ht="20" customHeight="1" s="13">
      <c r="A132" s="120" t="inlineStr">
        <is>
          <t>STEP 3</t>
        </is>
      </c>
      <c r="B132" s="121" t="inlineStr">
        <is>
          <t>Right-click on the TOTAL row of that section → Insert Row Above</t>
        </is>
      </c>
    </row>
    <row r="133" ht="20" customHeight="1" s="13">
      <c r="A133" s="120" t="inlineStr">
        <is>
          <t>STEP 4</t>
        </is>
      </c>
      <c r="B133" s="121" t="inlineStr">
        <is>
          <t>In the new row: enter Item Name (col A), Rate per KG (col B)</t>
        </is>
      </c>
    </row>
    <row r="134" ht="20" customHeight="1" s="13">
      <c r="A134" s="120" t="inlineStr">
        <is>
          <t>STEP 5</t>
        </is>
      </c>
      <c r="B134" s="121" t="inlineStr">
        <is>
          <t>Enter daily purchase quantity in the date columns (C = Jun 1, D = Jun 2, ...)</t>
        </is>
      </c>
    </row>
    <row r="135" ht="20" customHeight="1" s="13">
      <c r="A135" s="120" t="inlineStr">
        <is>
          <t>STEP 6</t>
        </is>
      </c>
      <c r="B135" s="121" t="inlineStr">
        <is>
          <t>In col AH, enter:  =SUM(C{row}:AF{row})   and in col AI:  =AH{row}*B{row}</t>
        </is>
      </c>
    </row>
    <row r="136" ht="20" customHeight="1" s="13">
      <c r="A136" s="122" t="inlineStr">
        <is>
          <t>NOTE</t>
        </is>
      </c>
      <c r="B136" s="123" t="inlineStr">
        <is>
          <t>This Sheet2 Dashboard will AUTO-UPDATE — all totals recalculate automatically!</t>
        </is>
      </c>
    </row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mergeCells count="23">
    <mergeCell ref="A41:F41"/>
    <mergeCell ref="B134:F134"/>
    <mergeCell ref="B131:F131"/>
    <mergeCell ref="E8:F8"/>
    <mergeCell ref="A33:F33"/>
    <mergeCell ref="A129:F129"/>
    <mergeCell ref="B130:F130"/>
    <mergeCell ref="E10:F10"/>
    <mergeCell ref="B136:F136"/>
    <mergeCell ref="A4:F4"/>
    <mergeCell ref="A100:F100"/>
    <mergeCell ref="B132:F132"/>
    <mergeCell ref="E9:F9"/>
    <mergeCell ref="A52:F52"/>
    <mergeCell ref="E6:F6"/>
    <mergeCell ref="A13:F13"/>
    <mergeCell ref="E2:F2"/>
    <mergeCell ref="E11:F11"/>
    <mergeCell ref="E7:F7"/>
    <mergeCell ref="B133:F133"/>
    <mergeCell ref="A1:F1"/>
    <mergeCell ref="A2:D2"/>
    <mergeCell ref="B135:F13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13" min="1" max="26"/>
  </cols>
  <sheetData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ACER</dc:creator>
  <dcterms:created xsi:type="dcterms:W3CDTF">2026-06-09T13:58:06Z</dcterms:created>
  <dcterms:modified xsi:type="dcterms:W3CDTF">2026-06-10T15:40:41Z</dcterms:modified>
</cp:coreProperties>
</file>